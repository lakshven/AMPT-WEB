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engineeringcslcom-my.sharepoint.com/personal/lakshmi_yeruva_engineeringcsl_com/Documents/Personal/AMPt Excel Files/"/>
    </mc:Choice>
  </mc:AlternateContent>
  <xr:revisionPtr revIDLastSave="2" documentId="8_{228D4825-CF0C-47F7-98E2-4EB588624BC8}" xr6:coauthVersionLast="47" xr6:coauthVersionMax="47" xr10:uidLastSave="{42B8CDAB-B156-4C0F-A7DF-A33820E84250}"/>
  <bookViews>
    <workbookView xWindow="1416" yWindow="1044" windowWidth="17280" windowHeight="9960" xr2:uid="{DB37134D-289D-429E-B6B4-D275232DD24B}"/>
  </bookViews>
  <sheets>
    <sheet name="Matrix"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5" i="2" l="1"/>
  <c r="M16" i="2"/>
  <c r="M17" i="2"/>
  <c r="M18" i="2"/>
  <c r="L15" i="2"/>
  <c r="L16" i="2"/>
  <c r="L17" i="2"/>
  <c r="L18" i="2"/>
  <c r="K15" i="2"/>
  <c r="K16" i="2"/>
  <c r="K17" i="2"/>
  <c r="K18" i="2"/>
  <c r="M14" i="2"/>
  <c r="L14" i="2"/>
  <c r="K14" i="2"/>
  <c r="J15" i="2"/>
  <c r="J16" i="2"/>
  <c r="J17" i="2"/>
  <c r="J18" i="2"/>
  <c r="J14" i="2"/>
  <c r="I15" i="2"/>
  <c r="I16" i="2"/>
  <c r="I17" i="2"/>
  <c r="I18" i="2"/>
  <c r="I14" i="2"/>
</calcChain>
</file>

<file path=xl/sharedStrings.xml><?xml version="1.0" encoding="utf-8"?>
<sst xmlns="http://schemas.openxmlformats.org/spreadsheetml/2006/main" count="51" uniqueCount="51">
  <si>
    <t>Liklihood</t>
  </si>
  <si>
    <t>Severity</t>
  </si>
  <si>
    <t>Ref: Network Rail CRAM v1.2 received 30/11/2018</t>
  </si>
  <si>
    <t xml:space="preserve">Impact area </t>
  </si>
  <si>
    <t xml:space="preserve">Safety/ 
Health/ 
Environment </t>
  </si>
  <si>
    <t xml:space="preserve">Event with the potential for less than 20 minor injuries or a single major injury (less than .1 FWI) 
Minor health effects not affecting work performance or causing disability, treatment applied by First Aider onsite e.g. minor cuts &amp; abrasions 
Negligible impact to a minimal area of low environmental significance, managed by internal control procedures (e.g. Spills &lt;20 litres; Fly tipping) </t>
  </si>
  <si>
    <t xml:space="preserve">Significant event with the potential of a single major injury to five major injuries (between .1 - .5 FWI) 
Minor health effects causing lost time injury 1-20 days with some impact on local level activities, e.g. MSK – musculoskeletal injury from manual handling with short term health issues 
Minor or minimal short-term impacts to the environment (e.g. Minor spill of &gt;20 litres; dust/odour; Disturbance to locally protected Biodiversity Action Plan (BAP) species or its habitat) </t>
  </si>
  <si>
    <t xml:space="preserve">Significant event with the potential of between five major injuries and two fatalities (between .5 and 2 FWI) 
Major health effects causing lost time injury 20+ days and/or redeployment, e.g. MSK with long term health issues, hand/arm vibration syndrome 
Significant impact to the wider environment, where short term (&lt; 6 months) restoration works are needed (e.g. Confirmed spread of an invasive species; Disturbance to a statutorily protected site or a 
European/nationally protected species or habitat; Damage to a Site of Special Scientific Interest (SSSI); destroying the habitat of a protected species) </t>
  </si>
  <si>
    <t xml:space="preserve">Catastrophic event with the potential of between two and 10 fatalities (between 2-10 FWI) 
Irreversible damage causing serious disability and more than 6 months off work or fatalities e.g. respirable crystalline silica (RCS) from ballast dust and asbestos from buildings to   renewals 
Major, persistent and/or extensive impact to the environment where longer term remediation is required (&gt; 6 months) e.g. Long term pollution involving toxic, hazardous or infectious materials/waste; Use of resources under threat of depletion; Damage to a statutorily protected site or a European / nationally protected species or habitat; 
Unlicensed killing of a small population of a 
European/ nationally protected species) </t>
  </si>
  <si>
    <t xml:space="preserve">Catastrophic event with the potential of over 10 fatalities (10 FWI) 
Catastrophic health effects causing multiple fatalities from long term exposure in the work place e.g. silica and asbestos or effect of ill health on work e.g. sudden incapacity for a Lookout or Train Driver  
Catastrophic and irreversible environmental damage (e.g. Irreparable damage  to protected sites and/or unlicensed killing of a local/regionally significant protected species population; Direct over-
consumption of natural resources causing irreversible depletion of that resource) </t>
  </si>
  <si>
    <t xml:space="preserve">Performance </t>
  </si>
  <si>
    <t xml:space="preserve">Planned disruption for up to a day on any one route 
Project &lt;1yr = &lt;=1 week schedule delays Project &gt;1yr = &lt;=2 weeks 
&lt;52hrs possession;  overrun &lt;=15mins 
52hrs – week possession; overrun &lt;=1hr 
1-4week possession; overrun &lt;= 4hrs </t>
  </si>
  <si>
    <t xml:space="preserve">Unplanned disruption (for up to a day) on any one route 
Project &lt;1yr = 1-2 weeks schedule delays  Project &gt;1yr = 2-4 weeks 
&lt;52hrs possession; overrun 15 - 30 minute 
52hrs – week possession; overrun 1-2hrs 
1-4week possession; overrun 4-7hrs </t>
  </si>
  <si>
    <t xml:space="preserve">Unplanned disruption (for up to a week) on any one route or Up to a day on multiple routes 
Project &lt;1yr = 2-4weeks  schedule delays  Project &gt;1yr = 4-8 weeks 
&lt;52hrs possession; overrun 30min to 1hr 
52hrs – week possession; overrun 2-4hrs 
1-4week possession; overrun 7-14hrs </t>
  </si>
  <si>
    <t xml:space="preserve">Unplanned disruption for over a week on multiple 
routes and limited access to station facilities 
Project &lt;1yr = 4-6 weeks schedule delays  
Project &gt;1yr = 8-12 weeks 
&lt;52hrs possession; overrun 1 – 2hrs 
52hrs – week possession; overrun 4-7hrs 
1-4week possession; overrun 14-26hrs </t>
  </si>
  <si>
    <t xml:space="preserve">All users experience prolonged and unplanned disruption to key routes. Access to major station facilities likely to be severely restricted Project &lt;1yr = &gt;6 weeks schedule delays  
Project &gt;1yr = &gt;12 weeks 
&lt;52hrs possession; overrun &gt;2 hrs  
52hrs – week possession; overrun &gt;7hrs 
1-4week possession; overrun &gt;26hrs </t>
  </si>
  <si>
    <t xml:space="preserve">Finance </t>
  </si>
  <si>
    <t xml:space="preserve">£0 - £2m OR Less than 3% of allocated budget  
Efficiency target 100% deliverable 
No Breach of cash limits </t>
  </si>
  <si>
    <t xml:space="preserve">£2 - 10m OR between 3% - 5% of allocated budget 
Efficiency target &gt;90% deliverable 
Minor breach of cash limits </t>
  </si>
  <si>
    <t xml:space="preserve">£10 - 50m OR between 5% and 7% of allocated budget 
Efficiency target 80-90% deliverable 
Minor to moderate breach of cash limits to create minimum value </t>
  </si>
  <si>
    <t xml:space="preserve">£50 - 250m OR between 7% and 10% of allocated budget 
Efficiency target 60-80% deliverable 
Moderate breach of cash limits where there is potential to create some value </t>
  </si>
  <si>
    <t xml:space="preserve">Over £250m OR Greater than 10% of allocated budget 
Efficiency target &lt;60% deliverable 
Significant breach of cash limit or where there is the potential to create significant value </t>
  </si>
  <si>
    <t xml:space="preserve">Asset 
Management </t>
  </si>
  <si>
    <t xml:space="preserve">Does not directly and adversely affect either railway infrastructure reliability or railway infrastructure condition 
Or 
Direct and adverse impact on railway infrastructure reliability or railway 
infrastructure condition is minimal Failure to achieve annual CRI target 
Failure to achieve annual contribution to the CSI target </t>
  </si>
  <si>
    <t xml:space="preserve">Directly and adversely affects railway infrastructure reliability within the current performance year 
Or 
Directly and adversely affects railway infrastructure 
condition within the current control period 
Failure to deliver 50%  CRI target value in year concerned Failure to achieve annual contribution by such a margin as this threatens CSI outturn for CP5 </t>
  </si>
  <si>
    <t xml:space="preserve">Directly and adversely affects railway infrastructure reliability over the current and 
next performance year 
Or 
Directly and adversely affects railway infrastructure condition over the current &amp; next control period 
Failure to improve CRI target value in 
Control Period (or 5 yr period) 
Failure to achieve CSI in CP5 </t>
  </si>
  <si>
    <t xml:space="preserve">Directly and adversely affects railway infrastructure reliability over the next 3-4 performance years 
Or 
Directly and adversely affects railway infrastructure condition over the next three control periods (11+ years) 
Deterioration in CRI between 10% to 49% in Control 
Period (or 5 yr period) – (against target) 
Failure by up to 0.5% to deliver CSI in CP5 </t>
  </si>
  <si>
    <t xml:space="preserve">Directly and adversely affects railway infrastructure reliability over the next 5+ performance years 
Or 
Directly and adversely affects railway infrastructure condition over the next four control periods (16+ years) 
Deterioration in CRI by &gt; 50% in Control Period (or 5 yr period) - (against target) 
A major shortfall in CSI by &gt;0.5% in CP5 </t>
  </si>
  <si>
    <t xml:space="preserve">Satisfaction &amp; Reputation </t>
  </si>
  <si>
    <t xml:space="preserve">Short-term 	adverse 	local 	stakeholder reaction 
Short term loss of morale with poor 
performance of non-critical activities 
Minor legal issues, non-compliance or breach of regulation. Legal challenge, minor out of court settlement limited to parties involved and expected outcome known No ORR action. </t>
  </si>
  <si>
    <t xml:space="preserve">Adverse local media reports over a period. Localised stakeholder concern. 
Minor 	disengagement. 	Effectiveness 	/ 	Efficiency 
compromised with service failures in non-critical activities 
Breach of regulation with investigation or report to authority with prosecution and/or moderate fine possible. Limited to parties involved but outcome uncertain 
Risk scores a 1 – 2 on the ORR regulatory escalator </t>
  </si>
  <si>
    <t xml:space="preserve">Significant local and / or regional reports including social media. 
National media interest creating public concern. 	Negative 	national 	stakeholder statements 	from 	both 	government departments and/or TOC/FOCs. 
Some disengagement leading to effectiveness / efficiency compromised in some critical activities. 
Serious breach of regulation. Major litigation/ Class action/ criminal prosecution/prohibition notice.  Local profile and outcomes uncertain.  
Risk scores a 3 on the ORR regulatory escalator </t>
  </si>
  <si>
    <t xml:space="preserve">Extensive prolonged diverse national reporting and public disputes with key stakeholders, e.g. breakdown of a TOC alliance. 
A major downturn in company-wide engagement leading to service failures within some critical activities. 
Significant prosecution and fines. Very serious litigation including class actions. National profile, impact on current/future business operations. Risk scores a 4 on the ORR regulatory escalator </t>
  </si>
  <si>
    <t xml:space="preserve">Extensive and prolonged negative reporting nationally or public disputes with key stakeholders, including political and/or TOC/FOCs. Escalation to external bodies inevitable &amp; impossible to contain in medium term. 
Potential for significant changes imposed on NR, its responsibilities and structure 
A significant downturn in companywide engagement. Serious failings across most services 
National profile, major impact on current and future business operation. Prosecution likely. Potential prison terms for executives and/or high fines for organisation. Multiple litigations. 
Risk scores 5  on the ORR regulatory escalator </t>
  </si>
  <si>
    <t xml:space="preserve">Liklihood </t>
  </si>
  <si>
    <t xml:space="preserve">Criteria </t>
  </si>
  <si>
    <t xml:space="preserve">&lt;5% 
Very Low likelihood the risk will occur 
Risk would occur less than once in 25 years </t>
  </si>
  <si>
    <t xml:space="preserve">5 – 20% 
Low likelihood the risk will occur 
Risk would occur between once in 25 years or up to once in 5 years </t>
  </si>
  <si>
    <t xml:space="preserve">21 – 50% 
Medium likelihood the risk will occur 
Risk would occur between once in 5 years to just less than once a year </t>
  </si>
  <si>
    <t xml:space="preserve">51 – 75%  
High likelihood the risk will occur 
Risk would occur between 1 and 5 times a year </t>
  </si>
  <si>
    <t xml:space="preserve">&gt;75% 
Very  High likelihood the risk will occur  
Risk would occur 5 times a year or more </t>
  </si>
  <si>
    <t>Acceptable</t>
  </si>
  <si>
    <t>Consider reasonably practicable improvements</t>
  </si>
  <si>
    <t>Consider practical improvements</t>
  </si>
  <si>
    <t>Unacceptable</t>
  </si>
  <si>
    <t>Intolerable</t>
  </si>
  <si>
    <t>1 - 8</t>
  </si>
  <si>
    <t>9 - 11</t>
  </si>
  <si>
    <t>12 -14</t>
  </si>
  <si>
    <t>20 - 25</t>
  </si>
  <si>
    <t>15 - 19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</si>
</sst>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sz val="11"/>
      <color theme="1"/>
      <name val="Century Gothic"/>
      <family val="2"/>
    </font>
    <font>
      <b/>
      <sz val="10"/>
      <color rgb="FF000000"/>
      <name val="Century Gothic"/>
      <family val="2"/>
    </font>
    <font>
      <b/>
      <sz val="11"/>
      <color theme="1"/>
      <name val="Century Gothic"/>
      <family val="2"/>
    </font>
  </fonts>
  <fills count="6">
    <fill>
      <patternFill patternType="none"/>
    </fill>
    <fill>
      <patternFill patternType="gray125"/>
    </fill>
    <fill>
      <patternFill patternType="solid">
        <fgColor theme="3" tint="0.79998168889431442"/>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37">
    <xf numFmtId="0" fontId="0" fillId="0" borderId="0" xfId="0"/>
    <xf numFmtId="0" fontId="0" fillId="0" borderId="0" xfId="0" applyAlignment="1">
      <alignment horizontal="center"/>
    </xf>
    <xf numFmtId="0" fontId="2" fillId="0" borderId="0" xfId="0" applyFont="1"/>
    <xf numFmtId="0" fontId="4" fillId="2" borderId="1" xfId="0" applyFont="1" applyFill="1" applyBorder="1" applyAlignment="1">
      <alignment horizontal="center"/>
    </xf>
    <xf numFmtId="0" fontId="2" fillId="0" borderId="1" xfId="0" applyFont="1" applyBorder="1" applyAlignment="1">
      <alignment vertical="center" wrapText="1"/>
    </xf>
    <xf numFmtId="0" fontId="2" fillId="0" borderId="1" xfId="0" applyFont="1" applyBorder="1" applyAlignment="1">
      <alignment wrapText="1"/>
    </xf>
    <xf numFmtId="0" fontId="0" fillId="0" borderId="0" xfId="0"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xf>
    <xf numFmtId="0" fontId="0" fillId="3" borderId="2" xfId="0" applyFill="1" applyBorder="1" applyAlignment="1">
      <alignment horizontal="center"/>
    </xf>
    <xf numFmtId="0" fontId="0" fillId="3" borderId="1" xfId="0" applyFill="1" applyBorder="1"/>
    <xf numFmtId="0" fontId="0" fillId="0" borderId="7" xfId="0" applyBorder="1" applyAlignment="1">
      <alignment horizontal="center"/>
    </xf>
    <xf numFmtId="0" fontId="0" fillId="4" borderId="1" xfId="0" applyFill="1" applyBorder="1"/>
    <xf numFmtId="0" fontId="0" fillId="5" borderId="1" xfId="0" applyFill="1" applyBorder="1"/>
    <xf numFmtId="49" fontId="0" fillId="5" borderId="1" xfId="0" applyNumberFormat="1" applyFill="1" applyBorder="1" applyAlignment="1">
      <alignment horizontal="center"/>
    </xf>
    <xf numFmtId="0" fontId="0" fillId="5" borderId="2" xfId="0" applyFill="1" applyBorder="1" applyAlignment="1">
      <alignment horizontal="center"/>
    </xf>
    <xf numFmtId="0" fontId="0" fillId="4" borderId="2" xfId="0" applyFill="1" applyBorder="1" applyAlignment="1">
      <alignment horizontal="center"/>
    </xf>
    <xf numFmtId="49" fontId="0" fillId="3" borderId="1" xfId="0" applyNumberFormat="1" applyFill="1" applyBorder="1" applyAlignment="1">
      <alignment horizontal="center"/>
    </xf>
    <xf numFmtId="49" fontId="0" fillId="4" borderId="1" xfId="0" applyNumberFormat="1" applyFill="1" applyBorder="1" applyAlignment="1">
      <alignment horizontal="center"/>
    </xf>
    <xf numFmtId="49" fontId="0" fillId="0" borderId="0" xfId="0" applyNumberFormat="1"/>
    <xf numFmtId="0" fontId="3" fillId="2" borderId="10" xfId="0" applyFont="1" applyFill="1" applyBorder="1" applyAlignment="1">
      <alignment horizontal="center" vertical="center" wrapText="1"/>
    </xf>
    <xf numFmtId="0" fontId="4" fillId="2" borderId="9" xfId="0" applyFont="1" applyFill="1" applyBorder="1" applyAlignment="1">
      <alignment horizontal="center"/>
    </xf>
    <xf numFmtId="0" fontId="4" fillId="2" borderId="11" xfId="0" applyFont="1" applyFill="1" applyBorder="1" applyAlignment="1">
      <alignment horizontal="center"/>
    </xf>
    <xf numFmtId="0" fontId="4" fillId="0" borderId="12" xfId="0" applyFont="1" applyBorder="1" applyAlignment="1">
      <alignment vertical="center" wrapText="1"/>
    </xf>
    <xf numFmtId="0" fontId="2" fillId="0" borderId="7" xfId="0" applyFont="1" applyBorder="1" applyAlignment="1">
      <alignment vertical="center" wrapText="1"/>
    </xf>
    <xf numFmtId="0" fontId="4" fillId="0" borderId="12" xfId="0" applyFont="1" applyBorder="1" applyAlignment="1">
      <alignment vertical="center"/>
    </xf>
    <xf numFmtId="0" fontId="2" fillId="0" borderId="7" xfId="0" applyFont="1" applyBorder="1" applyAlignment="1">
      <alignment wrapText="1"/>
    </xf>
    <xf numFmtId="0" fontId="3" fillId="2" borderId="12" xfId="0" applyFont="1" applyFill="1" applyBorder="1" applyAlignment="1">
      <alignment horizontal="center" vertical="center" wrapText="1"/>
    </xf>
    <xf numFmtId="0" fontId="4" fillId="2" borderId="7" xfId="0" applyFont="1" applyFill="1" applyBorder="1" applyAlignment="1">
      <alignment horizontal="center"/>
    </xf>
    <xf numFmtId="0" fontId="4" fillId="0" borderId="13" xfId="0" applyFont="1" applyBorder="1" applyAlignment="1">
      <alignment vertical="center"/>
    </xf>
    <xf numFmtId="0" fontId="2" fillId="0" borderId="8" xfId="0" applyFont="1" applyBorder="1" applyAlignment="1">
      <alignment vertical="center" wrapText="1"/>
    </xf>
    <xf numFmtId="0" fontId="2" fillId="0" borderId="14" xfId="0" applyFont="1" applyBorder="1" applyAlignment="1">
      <alignment vertical="center" wrapText="1"/>
    </xf>
    <xf numFmtId="0" fontId="0" fillId="0" borderId="0" xfId="0" applyAlignment="1">
      <alignment horizontal="center"/>
    </xf>
    <xf numFmtId="0" fontId="0" fillId="0" borderId="0" xfId="0" applyAlignment="1">
      <alignment horizontal="center" vertical="center" textRotation="90"/>
    </xf>
  </cellXfs>
  <cellStyles count="2">
    <cellStyle name="Normal" xfId="0" builtinId="0"/>
    <cellStyle name="Normal 2" xfId="1" xr:uid="{360DBEE6-C5FA-4C0C-9E45-40C04951CC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8954E-9907-4AD6-833D-C8B163694480}">
  <dimension ref="A1:P19"/>
  <sheetViews>
    <sheetView tabSelected="1" topLeftCell="A3" zoomScaleNormal="100" workbookViewId="0">
      <selection activeCell="A7" sqref="A7"/>
    </sheetView>
  </sheetViews>
  <sheetFormatPr defaultRowHeight="14.4" x14ac:dyDescent="0.3"/>
  <cols>
    <col min="1" max="1" width="26" customWidth="1"/>
    <col min="2" max="6" width="50.6640625" customWidth="1"/>
    <col min="15" max="15" width="43.6640625" bestFit="1" customWidth="1"/>
    <col min="16" max="16" width="11.33203125" bestFit="1" customWidth="1"/>
  </cols>
  <sheetData>
    <row r="1" spans="1:16" ht="15" thickBot="1" x14ac:dyDescent="0.35">
      <c r="A1" s="2" t="s">
        <v>2</v>
      </c>
      <c r="B1" s="2"/>
      <c r="C1" s="2"/>
      <c r="D1" s="2"/>
      <c r="E1" s="2"/>
      <c r="F1" s="2"/>
    </row>
    <row r="2" spans="1:16" x14ac:dyDescent="0.3">
      <c r="A2" s="23" t="s">
        <v>3</v>
      </c>
      <c r="B2" s="24">
        <v>1</v>
      </c>
      <c r="C2" s="24">
        <v>2</v>
      </c>
      <c r="D2" s="24">
        <v>3</v>
      </c>
      <c r="E2" s="24">
        <v>4</v>
      </c>
      <c r="F2" s="25">
        <v>5</v>
      </c>
    </row>
    <row r="3" spans="1:16" ht="220.8" x14ac:dyDescent="0.3">
      <c r="A3" s="26" t="s">
        <v>4</v>
      </c>
      <c r="B3" s="4" t="s">
        <v>5</v>
      </c>
      <c r="C3" s="4" t="s">
        <v>6</v>
      </c>
      <c r="D3" s="4" t="s">
        <v>7</v>
      </c>
      <c r="E3" s="4" t="s">
        <v>8</v>
      </c>
      <c r="F3" s="27" t="s">
        <v>9</v>
      </c>
    </row>
    <row r="4" spans="1:16" ht="111" x14ac:dyDescent="0.3">
      <c r="A4" s="28" t="s">
        <v>10</v>
      </c>
      <c r="B4" s="5" t="s">
        <v>11</v>
      </c>
      <c r="C4" s="5" t="s">
        <v>12</v>
      </c>
      <c r="D4" s="5" t="s">
        <v>13</v>
      </c>
      <c r="E4" s="5" t="s">
        <v>14</v>
      </c>
      <c r="F4" s="29" t="s">
        <v>15</v>
      </c>
    </row>
    <row r="5" spans="1:16" ht="69.599999999999994" x14ac:dyDescent="0.3">
      <c r="A5" s="28" t="s">
        <v>16</v>
      </c>
      <c r="B5" s="5" t="s">
        <v>17</v>
      </c>
      <c r="C5" s="5" t="s">
        <v>18</v>
      </c>
      <c r="D5" s="5" t="s">
        <v>19</v>
      </c>
      <c r="E5" s="5" t="s">
        <v>20</v>
      </c>
      <c r="F5" s="29" t="s">
        <v>21</v>
      </c>
    </row>
    <row r="6" spans="1:16" ht="152.4" x14ac:dyDescent="0.3">
      <c r="A6" s="26" t="s">
        <v>22</v>
      </c>
      <c r="B6" s="5" t="s">
        <v>23</v>
      </c>
      <c r="C6" s="5" t="s">
        <v>24</v>
      </c>
      <c r="D6" s="5" t="s">
        <v>25</v>
      </c>
      <c r="E6" s="5" t="s">
        <v>26</v>
      </c>
      <c r="F6" s="29" t="s">
        <v>27</v>
      </c>
    </row>
    <row r="7" spans="1:16" ht="207.6" x14ac:dyDescent="0.3">
      <c r="A7" s="28" t="s">
        <v>28</v>
      </c>
      <c r="B7" s="5" t="s">
        <v>29</v>
      </c>
      <c r="C7" s="5" t="s">
        <v>30</v>
      </c>
      <c r="D7" s="5" t="s">
        <v>31</v>
      </c>
      <c r="E7" s="5" t="s">
        <v>32</v>
      </c>
      <c r="F7" s="29" t="s">
        <v>33</v>
      </c>
    </row>
    <row r="8" spans="1:16" x14ac:dyDescent="0.3">
      <c r="A8" s="30" t="s">
        <v>34</v>
      </c>
      <c r="B8" s="3">
        <v>1</v>
      </c>
      <c r="C8" s="3">
        <v>2</v>
      </c>
      <c r="D8" s="3">
        <v>3</v>
      </c>
      <c r="E8" s="3">
        <v>4</v>
      </c>
      <c r="F8" s="31">
        <v>5</v>
      </c>
    </row>
    <row r="9" spans="1:16" ht="55.8" thickBot="1" x14ac:dyDescent="0.35">
      <c r="A9" s="32" t="s">
        <v>35</v>
      </c>
      <c r="B9" s="33" t="s">
        <v>36</v>
      </c>
      <c r="C9" s="33" t="s">
        <v>37</v>
      </c>
      <c r="D9" s="33" t="s">
        <v>38</v>
      </c>
      <c r="E9" s="33" t="s">
        <v>39</v>
      </c>
      <c r="F9" s="34" t="s">
        <v>40</v>
      </c>
    </row>
    <row r="12" spans="1:16" x14ac:dyDescent="0.3">
      <c r="G12" s="1"/>
      <c r="H12" s="1"/>
      <c r="I12" s="35" t="s">
        <v>1</v>
      </c>
      <c r="J12" s="35"/>
      <c r="K12" s="35"/>
      <c r="L12" s="35"/>
      <c r="M12" s="35"/>
      <c r="N12" s="1"/>
    </row>
    <row r="13" spans="1:16" ht="15" thickBot="1" x14ac:dyDescent="0.35">
      <c r="G13" s="6"/>
      <c r="H13" s="7"/>
      <c r="I13" s="8">
        <v>1</v>
      </c>
      <c r="J13" s="9">
        <v>2</v>
      </c>
      <c r="K13" s="9">
        <v>3</v>
      </c>
      <c r="L13" s="9">
        <v>4</v>
      </c>
      <c r="M13" s="9">
        <v>5</v>
      </c>
      <c r="N13" s="10"/>
    </row>
    <row r="14" spans="1:16" x14ac:dyDescent="0.3">
      <c r="G14" s="36" t="s">
        <v>0</v>
      </c>
      <c r="H14" s="11">
        <v>1</v>
      </c>
      <c r="I14" s="12">
        <f>$H14*$I$13</f>
        <v>1</v>
      </c>
      <c r="J14" s="12">
        <f>$H14*$J$13</f>
        <v>2</v>
      </c>
      <c r="K14" s="12">
        <f>$H14*$K$13</f>
        <v>3</v>
      </c>
      <c r="L14" s="12">
        <f>$H14*$L$13</f>
        <v>4</v>
      </c>
      <c r="M14" s="12">
        <f>$H14*$M$13</f>
        <v>5</v>
      </c>
      <c r="N14" s="1"/>
      <c r="O14" s="13" t="s">
        <v>41</v>
      </c>
      <c r="P14" s="20" t="s">
        <v>46</v>
      </c>
    </row>
    <row r="15" spans="1:16" x14ac:dyDescent="0.3">
      <c r="G15" s="36"/>
      <c r="H15" s="14">
        <v>2</v>
      </c>
      <c r="I15" s="12">
        <f t="shared" ref="I15:I18" si="0">$H15*$I$13</f>
        <v>2</v>
      </c>
      <c r="J15" s="12">
        <f t="shared" ref="J15:J18" si="1">$H15*$J$13</f>
        <v>4</v>
      </c>
      <c r="K15" s="12">
        <f t="shared" ref="K15:K18" si="2">$H15*$K$13</f>
        <v>6</v>
      </c>
      <c r="L15" s="12">
        <f t="shared" ref="L15:L18" si="3">$H15*$L$13</f>
        <v>8</v>
      </c>
      <c r="M15" s="19">
        <f t="shared" ref="M15:M18" si="4">$H15*$M$13</f>
        <v>10</v>
      </c>
      <c r="N15" s="1"/>
      <c r="O15" s="15" t="s">
        <v>42</v>
      </c>
      <c r="P15" s="21" t="s">
        <v>47</v>
      </c>
    </row>
    <row r="16" spans="1:16" x14ac:dyDescent="0.3">
      <c r="G16" s="36"/>
      <c r="H16" s="14">
        <v>3</v>
      </c>
      <c r="I16" s="12">
        <f t="shared" si="0"/>
        <v>3</v>
      </c>
      <c r="J16" s="12">
        <f t="shared" si="1"/>
        <v>6</v>
      </c>
      <c r="K16" s="19">
        <f t="shared" si="2"/>
        <v>9</v>
      </c>
      <c r="L16" s="19">
        <f t="shared" si="3"/>
        <v>12</v>
      </c>
      <c r="M16" s="18">
        <f t="shared" si="4"/>
        <v>15</v>
      </c>
      <c r="N16" s="1"/>
      <c r="O16" s="15" t="s">
        <v>43</v>
      </c>
      <c r="P16" s="21" t="s">
        <v>48</v>
      </c>
    </row>
    <row r="17" spans="7:16" x14ac:dyDescent="0.3">
      <c r="G17" s="36"/>
      <c r="H17" s="14">
        <v>4</v>
      </c>
      <c r="I17" s="12">
        <f t="shared" si="0"/>
        <v>4</v>
      </c>
      <c r="J17" s="12">
        <f t="shared" si="1"/>
        <v>8</v>
      </c>
      <c r="K17" s="19">
        <f t="shared" si="2"/>
        <v>12</v>
      </c>
      <c r="L17" s="18">
        <f t="shared" si="3"/>
        <v>16</v>
      </c>
      <c r="M17" s="18">
        <f t="shared" si="4"/>
        <v>20</v>
      </c>
      <c r="N17" s="1"/>
      <c r="O17" s="16" t="s">
        <v>44</v>
      </c>
      <c r="P17" s="17" t="s">
        <v>50</v>
      </c>
    </row>
    <row r="18" spans="7:16" x14ac:dyDescent="0.3">
      <c r="G18" s="36"/>
      <c r="H18" s="14">
        <v>5</v>
      </c>
      <c r="I18" s="12">
        <f t="shared" si="0"/>
        <v>5</v>
      </c>
      <c r="J18" s="19">
        <f t="shared" si="1"/>
        <v>10</v>
      </c>
      <c r="K18" s="18">
        <f t="shared" si="2"/>
        <v>15</v>
      </c>
      <c r="L18" s="18">
        <f t="shared" si="3"/>
        <v>20</v>
      </c>
      <c r="M18" s="18">
        <f t="shared" si="4"/>
        <v>25</v>
      </c>
      <c r="N18" s="1"/>
      <c r="O18" s="16" t="s">
        <v>45</v>
      </c>
      <c r="P18" s="17" t="s">
        <v>49</v>
      </c>
    </row>
    <row r="19" spans="7:16" x14ac:dyDescent="0.3">
      <c r="P19" s="22"/>
    </row>
  </sheetData>
  <mergeCells count="2">
    <mergeCell ref="I12:M12"/>
    <mergeCell ref="G14:G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0c1968f8-18f9-4977-9ac6-306886be3e1e">
      <UserInfo>
        <DisplayName>Imogen  H</DisplayName>
        <AccountId>110</AccountId>
        <AccountType/>
      </UserInfo>
      <UserInfo>
        <DisplayName>Dave Gent</DisplayName>
        <AccountId>7</AccountId>
        <AccountType/>
      </UserInfo>
      <UserInfo>
        <DisplayName>Luke Brammer</DisplayName>
        <AccountId>482</AccountId>
        <AccountType/>
      </UserInfo>
    </SharedWithUsers>
    <_Flow_SignoffStatus xmlns="6912c307-7910-4851-bbb8-847b89b6dcbe" xsi:nil="true"/>
    <TaxCatchAll xmlns="0c1968f8-18f9-4977-9ac6-306886be3e1e" xsi:nil="true"/>
    <lcf76f155ced4ddcb4097134ff3c332f xmlns="6912c307-7910-4851-bbb8-847b89b6dcb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0ACFD5E15739F4B95AF975AF9394523" ma:contentTypeVersion="17" ma:contentTypeDescription="Create a new document." ma:contentTypeScope="" ma:versionID="390ba04d3e89580259224037a9ab6d1f">
  <xsd:schema xmlns:xsd="http://www.w3.org/2001/XMLSchema" xmlns:xs="http://www.w3.org/2001/XMLSchema" xmlns:p="http://schemas.microsoft.com/office/2006/metadata/properties" xmlns:ns2="0c1968f8-18f9-4977-9ac6-306886be3e1e" xmlns:ns3="6912c307-7910-4851-bbb8-847b89b6dcbe" targetNamespace="http://schemas.microsoft.com/office/2006/metadata/properties" ma:root="true" ma:fieldsID="bd6f125e3ee2ba2e0f87fa8ce2d6ad24" ns2:_="" ns3:_="">
    <xsd:import namespace="0c1968f8-18f9-4977-9ac6-306886be3e1e"/>
    <xsd:import namespace="6912c307-7910-4851-bbb8-847b89b6dcb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ServiceAutoKeyPoints" minOccurs="0"/>
                <xsd:element ref="ns3:MediaServiceKeyPoints" minOccurs="0"/>
                <xsd:element ref="ns3:MediaLengthInSeconds" minOccurs="0"/>
                <xsd:element ref="ns3:_Flow_SignoffStatu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1968f8-18f9-4977-9ac6-306886be3e1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36e4af37-f70c-4e76-bb2a-60a015268764}" ma:internalName="TaxCatchAll" ma:showField="CatchAllData" ma:web="0c1968f8-18f9-4977-9ac6-306886be3e1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912c307-7910-4851-bbb8-847b89b6dcb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3c2ea047-c862-436c-8118-7b2ab963aa5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C8B585-EC3E-4E3F-A168-BAD06E2BE5F8}">
  <ds:schemaRefs>
    <ds:schemaRef ds:uri="http://schemas.microsoft.com/office/2006/documentManagement/types"/>
    <ds:schemaRef ds:uri="http://purl.org/dc/dcmitype/"/>
    <ds:schemaRef ds:uri="http://schemas.microsoft.com/office/2006/metadata/properties"/>
    <ds:schemaRef ds:uri="http://purl.org/dc/elements/1.1/"/>
    <ds:schemaRef ds:uri="6912c307-7910-4851-bbb8-847b89b6dcbe"/>
    <ds:schemaRef ds:uri="http://purl.org/dc/terms/"/>
    <ds:schemaRef ds:uri="http://schemas.openxmlformats.org/package/2006/metadata/core-properties"/>
    <ds:schemaRef ds:uri="http://schemas.microsoft.com/office/infopath/2007/PartnerControls"/>
    <ds:schemaRef ds:uri="0c1968f8-18f9-4977-9ac6-306886be3e1e"/>
    <ds:schemaRef ds:uri="http://www.w3.org/XML/1998/namespace"/>
  </ds:schemaRefs>
</ds:datastoreItem>
</file>

<file path=customXml/itemProps2.xml><?xml version="1.0" encoding="utf-8"?>
<ds:datastoreItem xmlns:ds="http://schemas.openxmlformats.org/officeDocument/2006/customXml" ds:itemID="{80F6E433-6D74-4839-BA28-D942DADC66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1968f8-18f9-4977-9ac6-306886be3e1e"/>
    <ds:schemaRef ds:uri="6912c307-7910-4851-bbb8-847b89b6dc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2986C0-8F67-4688-91CB-71F314A433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dc:creator>
  <cp:keywords/>
  <dc:description/>
  <cp:lastModifiedBy>Lakshmi Yeruva</cp:lastModifiedBy>
  <cp:revision/>
  <cp:lastPrinted>2021-05-27T14:30:29Z</cp:lastPrinted>
  <dcterms:created xsi:type="dcterms:W3CDTF">2021-05-04T12:25:06Z</dcterms:created>
  <dcterms:modified xsi:type="dcterms:W3CDTF">2026-04-27T12:05:27Z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0x01010030ACFD5E15739F4B95AF975AF9394523</vt:lpwstr>
  </property>
  <property fmtid="{D5CDD505-2E9C-101B-9397-08002B2CF9AE}" pid="3" name="MediaServiceImageTags">
    <vt:lpwstr/>
  </property>
</Properties>
</file>