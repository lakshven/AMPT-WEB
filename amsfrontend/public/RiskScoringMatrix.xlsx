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engineeringcslcom.sharepoint.com/sites/ECSLInternalSIte/Bridges &amp; Structures/Shared Documents/S2021_098_Weardale line/09_Issued/"/>
    </mc:Choice>
  </mc:AlternateContent>
  <xr:revisionPtr revIDLastSave="34" documentId="8_{01E0C3E0-2F20-4B78-BDB7-1DE9E299F527}" xr6:coauthVersionLast="47" xr6:coauthVersionMax="47" xr10:uidLastSave="{CA394F49-16EB-4339-B753-135D1697BE3A}"/>
  <bookViews>
    <workbookView xWindow="28680" yWindow="-120" windowWidth="29040" windowHeight="15840" xr2:uid="{DB37134D-289D-429E-B6B4-D275232DD24B}"/>
  </bookViews>
  <sheets>
    <sheet name="HAZID Log" sheetId="1" r:id="rId1"/>
    <sheet name="Matrix" sheetId="2" r:id="rId2"/>
    <sheet name="Frequency" sheetId="3" r:id="rId3"/>
  </sheets>
  <definedNames>
    <definedName name="_xlnm._FilterDatabase" localSheetId="0" hidden="1">'HAZID Log'!$A$1:$U$153</definedName>
    <definedName name="_xlnm.Print_Area" localSheetId="0">'HAZID Log'!$A$1:$X$153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1" i="1" l="1"/>
  <c r="K21" i="1"/>
  <c r="O21" i="1"/>
  <c r="K20" i="1"/>
  <c r="O20" i="1"/>
  <c r="P20" i="1" s="1"/>
  <c r="U151" i="1"/>
  <c r="U146" i="1"/>
  <c r="U142" i="1"/>
  <c r="U137" i="1"/>
  <c r="U134" i="1"/>
  <c r="U127" i="1"/>
  <c r="U125" i="1"/>
  <c r="U119" i="1"/>
  <c r="U116" i="1"/>
  <c r="U114" i="1"/>
  <c r="U109" i="1"/>
  <c r="U103" i="1"/>
  <c r="U99" i="1"/>
  <c r="U94" i="1"/>
  <c r="U89" i="1"/>
  <c r="U86" i="1"/>
  <c r="U79" i="1"/>
  <c r="U75" i="1"/>
  <c r="U70" i="1"/>
  <c r="U67" i="1"/>
  <c r="U62" i="1"/>
  <c r="U56" i="1"/>
  <c r="U55" i="1"/>
  <c r="U52" i="1"/>
  <c r="U48" i="1"/>
  <c r="U46" i="1"/>
  <c r="U43" i="1"/>
  <c r="U40" i="1"/>
  <c r="U37" i="1"/>
  <c r="U35" i="1"/>
  <c r="U32" i="1"/>
  <c r="U27" i="1"/>
  <c r="U25" i="1"/>
  <c r="U22" i="1"/>
  <c r="U15" i="1"/>
  <c r="U14" i="1"/>
  <c r="U10" i="1"/>
  <c r="U3" i="1"/>
  <c r="K103" i="1"/>
  <c r="K104" i="1"/>
  <c r="K105" i="1"/>
  <c r="K106" i="1"/>
  <c r="K107" i="1"/>
  <c r="K108" i="1"/>
  <c r="O103" i="1"/>
  <c r="P103" i="1" s="1"/>
  <c r="O104" i="1"/>
  <c r="P104" i="1" s="1"/>
  <c r="O105" i="1"/>
  <c r="P105" i="1" s="1"/>
  <c r="O106" i="1"/>
  <c r="P106" i="1" s="1"/>
  <c r="O107" i="1"/>
  <c r="P107" i="1" s="1"/>
  <c r="O108" i="1"/>
  <c r="P108" i="1" s="1"/>
  <c r="O76" i="1"/>
  <c r="P76" i="1" s="1"/>
  <c r="O77" i="1"/>
  <c r="P77" i="1" s="1"/>
  <c r="O78" i="1"/>
  <c r="P78" i="1" s="1"/>
  <c r="O75" i="1"/>
  <c r="P75" i="1" s="1"/>
  <c r="K75" i="1"/>
  <c r="K76" i="1"/>
  <c r="K77" i="1"/>
  <c r="K78" i="1"/>
  <c r="O58" i="1"/>
  <c r="P58" i="1" s="1"/>
  <c r="O59" i="1"/>
  <c r="P59" i="1" s="1"/>
  <c r="O60" i="1"/>
  <c r="P60" i="1" s="1"/>
  <c r="O61" i="1"/>
  <c r="P61" i="1" s="1"/>
  <c r="O57" i="1"/>
  <c r="P57" i="1" s="1"/>
  <c r="O56" i="1"/>
  <c r="P56" i="1" s="1"/>
  <c r="K56" i="1"/>
  <c r="K57" i="1"/>
  <c r="K58" i="1"/>
  <c r="K59" i="1"/>
  <c r="K60" i="1"/>
  <c r="K61" i="1"/>
  <c r="O55" i="1"/>
  <c r="P55" i="1" s="1"/>
  <c r="K55" i="1"/>
  <c r="O54" i="1"/>
  <c r="P54" i="1" s="1"/>
  <c r="O53" i="1"/>
  <c r="P53" i="1" s="1"/>
  <c r="O52" i="1"/>
  <c r="P52" i="1" s="1"/>
  <c r="K52" i="1"/>
  <c r="K53" i="1"/>
  <c r="K54" i="1"/>
  <c r="O50" i="1"/>
  <c r="P50" i="1" s="1"/>
  <c r="O51" i="1"/>
  <c r="P51" i="1" s="1"/>
  <c r="O49" i="1"/>
  <c r="P49" i="1" s="1"/>
  <c r="O48" i="1"/>
  <c r="P48" i="1" s="1"/>
  <c r="O45" i="1"/>
  <c r="P45" i="1" s="1"/>
  <c r="O44" i="1"/>
  <c r="P44" i="1" s="1"/>
  <c r="O43" i="1"/>
  <c r="P43" i="1" s="1"/>
  <c r="O42" i="1"/>
  <c r="P42" i="1" s="1"/>
  <c r="O41" i="1"/>
  <c r="P41" i="1" s="1"/>
  <c r="O40" i="1"/>
  <c r="P40" i="1" s="1"/>
  <c r="K48" i="1"/>
  <c r="K49" i="1"/>
  <c r="K50" i="1"/>
  <c r="K51" i="1"/>
  <c r="K44" i="1"/>
  <c r="K43" i="1"/>
  <c r="K45" i="1"/>
  <c r="K40" i="1"/>
  <c r="K41" i="1"/>
  <c r="K42" i="1"/>
  <c r="O34" i="1"/>
  <c r="P34" i="1" s="1"/>
  <c r="O33" i="1"/>
  <c r="P33" i="1" s="1"/>
  <c r="O32" i="1"/>
  <c r="P32" i="1" s="1"/>
  <c r="O129" i="1"/>
  <c r="P129" i="1" s="1"/>
  <c r="O130" i="1"/>
  <c r="P130" i="1" s="1"/>
  <c r="O131" i="1"/>
  <c r="P131" i="1" s="1"/>
  <c r="O132" i="1"/>
  <c r="P132" i="1" s="1"/>
  <c r="O133" i="1"/>
  <c r="P133" i="1" s="1"/>
  <c r="O128" i="1"/>
  <c r="P128" i="1" s="1"/>
  <c r="O127" i="1"/>
  <c r="P127" i="1" s="1"/>
  <c r="O135" i="1"/>
  <c r="P135" i="1" s="1"/>
  <c r="O136" i="1"/>
  <c r="P136" i="1" s="1"/>
  <c r="O134" i="1"/>
  <c r="P134" i="1" s="1"/>
  <c r="O138" i="1"/>
  <c r="P138" i="1" s="1"/>
  <c r="O139" i="1"/>
  <c r="P139" i="1" s="1"/>
  <c r="O140" i="1"/>
  <c r="P140" i="1" s="1"/>
  <c r="O141" i="1"/>
  <c r="P141" i="1" s="1"/>
  <c r="O137" i="1"/>
  <c r="P137" i="1" s="1"/>
  <c r="O143" i="1"/>
  <c r="P143" i="1" s="1"/>
  <c r="O144" i="1"/>
  <c r="P144" i="1" s="1"/>
  <c r="O145" i="1"/>
  <c r="P145" i="1" s="1"/>
  <c r="O142" i="1"/>
  <c r="P142" i="1" s="1"/>
  <c r="K32" i="1"/>
  <c r="K33" i="1"/>
  <c r="K34" i="1"/>
  <c r="O147" i="1"/>
  <c r="P147" i="1" s="1"/>
  <c r="O148" i="1"/>
  <c r="P148" i="1" s="1"/>
  <c r="O149" i="1"/>
  <c r="P149" i="1" s="1"/>
  <c r="O150" i="1"/>
  <c r="P150" i="1" s="1"/>
  <c r="O146" i="1"/>
  <c r="P146" i="1" s="1"/>
  <c r="O152" i="1"/>
  <c r="P152" i="1" s="1"/>
  <c r="O153" i="1"/>
  <c r="P153" i="1" s="1"/>
  <c r="O151" i="1"/>
  <c r="P151" i="1" s="1"/>
  <c r="O28" i="1"/>
  <c r="P28" i="1" s="1"/>
  <c r="O29" i="1"/>
  <c r="P29" i="1" s="1"/>
  <c r="O30" i="1"/>
  <c r="P30" i="1" s="1"/>
  <c r="O31" i="1"/>
  <c r="P31" i="1" s="1"/>
  <c r="O27" i="1"/>
  <c r="P27" i="1" s="1"/>
  <c r="O11" i="1"/>
  <c r="P11" i="1" s="1"/>
  <c r="O12" i="1"/>
  <c r="P12" i="1" s="1"/>
  <c r="O13" i="1"/>
  <c r="P13" i="1" s="1"/>
  <c r="O10" i="1"/>
  <c r="P10" i="1" s="1"/>
  <c r="O4" i="1"/>
  <c r="P4" i="1" s="1"/>
  <c r="O5" i="1"/>
  <c r="P5" i="1" s="1"/>
  <c r="O6" i="1"/>
  <c r="P6" i="1" s="1"/>
  <c r="O7" i="1"/>
  <c r="P7" i="1" s="1"/>
  <c r="O8" i="1"/>
  <c r="P8" i="1" s="1"/>
  <c r="O9" i="1"/>
  <c r="P9" i="1" s="1"/>
  <c r="O3" i="1"/>
  <c r="P3" i="1" s="1"/>
  <c r="K30" i="1"/>
  <c r="K27" i="1"/>
  <c r="K28" i="1"/>
  <c r="K29" i="1"/>
  <c r="K31" i="1"/>
  <c r="K10" i="1"/>
  <c r="K11" i="1"/>
  <c r="K12" i="1"/>
  <c r="K13" i="1"/>
  <c r="K3" i="1"/>
  <c r="K4" i="1"/>
  <c r="K5" i="1"/>
  <c r="K6" i="1"/>
  <c r="K7" i="1"/>
  <c r="K8" i="1"/>
  <c r="K9" i="1"/>
  <c r="K150" i="1"/>
  <c r="K149" i="1"/>
  <c r="K148" i="1"/>
  <c r="K147" i="1"/>
  <c r="K153" i="1"/>
  <c r="K152" i="1"/>
  <c r="K145" i="1"/>
  <c r="K144" i="1"/>
  <c r="K143" i="1"/>
  <c r="K141" i="1"/>
  <c r="K140" i="1"/>
  <c r="K139" i="1"/>
  <c r="K138" i="1"/>
  <c r="K135" i="1"/>
  <c r="K136" i="1"/>
  <c r="K133" i="1"/>
  <c r="K128" i="1"/>
  <c r="K129" i="1"/>
  <c r="K130" i="1"/>
  <c r="K131" i="1"/>
  <c r="K132" i="1"/>
  <c r="K127" i="1"/>
  <c r="K134" i="1"/>
  <c r="K137" i="1"/>
  <c r="K142" i="1"/>
  <c r="K146" i="1"/>
  <c r="K151" i="1"/>
  <c r="O117" i="1"/>
  <c r="P117" i="1" s="1"/>
  <c r="O118" i="1"/>
  <c r="P118" i="1" s="1"/>
  <c r="K117" i="1"/>
  <c r="K118" i="1"/>
  <c r="K98" i="1"/>
  <c r="O98" i="1"/>
  <c r="P98" i="1" s="1"/>
  <c r="K97" i="1"/>
  <c r="O97" i="1"/>
  <c r="P97" i="1" s="1"/>
  <c r="K96" i="1"/>
  <c r="O96" i="1"/>
  <c r="P96" i="1" s="1"/>
  <c r="K95" i="1"/>
  <c r="O95" i="1"/>
  <c r="P95" i="1" s="1"/>
  <c r="K85" i="1"/>
  <c r="O85" i="1"/>
  <c r="P85" i="1" s="1"/>
  <c r="K84" i="1"/>
  <c r="O84" i="1"/>
  <c r="P84" i="1" s="1"/>
  <c r="K83" i="1"/>
  <c r="O83" i="1"/>
  <c r="P83" i="1" s="1"/>
  <c r="K82" i="1"/>
  <c r="O82" i="1"/>
  <c r="P82" i="1" s="1"/>
  <c r="K81" i="1"/>
  <c r="O81" i="1"/>
  <c r="P81" i="1" s="1"/>
  <c r="K80" i="1"/>
  <c r="O80" i="1"/>
  <c r="P80" i="1" s="1"/>
  <c r="K126" i="1" l="1"/>
  <c r="O126" i="1"/>
  <c r="P126" i="1" s="1"/>
  <c r="O120" i="1"/>
  <c r="P120" i="1" s="1"/>
  <c r="O121" i="1"/>
  <c r="P121" i="1" s="1"/>
  <c r="O122" i="1"/>
  <c r="P122" i="1" s="1"/>
  <c r="O123" i="1"/>
  <c r="P123" i="1" s="1"/>
  <c r="O124" i="1"/>
  <c r="P124" i="1" s="1"/>
  <c r="K120" i="1"/>
  <c r="K121" i="1"/>
  <c r="K122" i="1"/>
  <c r="K123" i="1"/>
  <c r="K124" i="1"/>
  <c r="K115" i="1"/>
  <c r="O115" i="1"/>
  <c r="P115" i="1" s="1"/>
  <c r="O110" i="1"/>
  <c r="P110" i="1" s="1"/>
  <c r="O111" i="1"/>
  <c r="P111" i="1" s="1"/>
  <c r="O112" i="1"/>
  <c r="P112" i="1" s="1"/>
  <c r="O113" i="1"/>
  <c r="P113" i="1" s="1"/>
  <c r="K110" i="1"/>
  <c r="K111" i="1"/>
  <c r="K112" i="1"/>
  <c r="K113" i="1"/>
  <c r="O100" i="1"/>
  <c r="P100" i="1" s="1"/>
  <c r="O101" i="1"/>
  <c r="P101" i="1" s="1"/>
  <c r="O102" i="1"/>
  <c r="P102" i="1" s="1"/>
  <c r="K100" i="1"/>
  <c r="K101" i="1"/>
  <c r="K102" i="1"/>
  <c r="K93" i="1"/>
  <c r="O93" i="1"/>
  <c r="P93" i="1" s="1"/>
  <c r="O90" i="1"/>
  <c r="P90" i="1" s="1"/>
  <c r="O91" i="1"/>
  <c r="P91" i="1" s="1"/>
  <c r="O92" i="1"/>
  <c r="P92" i="1" s="1"/>
  <c r="K92" i="1"/>
  <c r="K90" i="1"/>
  <c r="K91" i="1"/>
  <c r="O87" i="1"/>
  <c r="P87" i="1" s="1"/>
  <c r="O88" i="1"/>
  <c r="P88" i="1" s="1"/>
  <c r="K87" i="1"/>
  <c r="K88" i="1"/>
  <c r="O71" i="1"/>
  <c r="P71" i="1" s="1"/>
  <c r="O72" i="1"/>
  <c r="P72" i="1" s="1"/>
  <c r="O73" i="1"/>
  <c r="P73" i="1" s="1"/>
  <c r="O74" i="1"/>
  <c r="P74" i="1" s="1"/>
  <c r="K71" i="1"/>
  <c r="K72" i="1"/>
  <c r="K73" i="1"/>
  <c r="K74" i="1"/>
  <c r="K66" i="1"/>
  <c r="O66" i="1"/>
  <c r="P66" i="1" s="1"/>
  <c r="O63" i="1"/>
  <c r="P63" i="1" s="1"/>
  <c r="O64" i="1"/>
  <c r="P64" i="1" s="1"/>
  <c r="O65" i="1"/>
  <c r="P65" i="1" s="1"/>
  <c r="K63" i="1"/>
  <c r="K64" i="1"/>
  <c r="K65" i="1"/>
  <c r="K47" i="1"/>
  <c r="K70" i="1"/>
  <c r="O70" i="1"/>
  <c r="P70" i="1" s="1"/>
  <c r="O47" i="1"/>
  <c r="P47" i="1" s="1"/>
  <c r="O46" i="1"/>
  <c r="P46" i="1" s="1"/>
  <c r="K46" i="1"/>
  <c r="O38" i="1"/>
  <c r="P38" i="1" s="1"/>
  <c r="O39" i="1"/>
  <c r="P39" i="1" s="1"/>
  <c r="K38" i="1"/>
  <c r="K39" i="1"/>
  <c r="K37" i="1"/>
  <c r="O36" i="1"/>
  <c r="P36" i="1" s="1"/>
  <c r="K36" i="1"/>
  <c r="O26" i="1"/>
  <c r="P26" i="1" s="1"/>
  <c r="K26" i="1"/>
  <c r="K24" i="1"/>
  <c r="O24" i="1"/>
  <c r="P24" i="1" s="1"/>
  <c r="K23" i="1"/>
  <c r="O23" i="1"/>
  <c r="P23" i="1" s="1"/>
  <c r="O16" i="1"/>
  <c r="P16" i="1" s="1"/>
  <c r="O17" i="1"/>
  <c r="P17" i="1" s="1"/>
  <c r="O18" i="1"/>
  <c r="P18" i="1" s="1"/>
  <c r="O19" i="1"/>
  <c r="P19" i="1" s="1"/>
  <c r="K15" i="1"/>
  <c r="K16" i="1"/>
  <c r="K17" i="1"/>
  <c r="K18" i="1"/>
  <c r="K19" i="1"/>
  <c r="O68" i="1"/>
  <c r="P68" i="1" s="1"/>
  <c r="O69" i="1"/>
  <c r="P69" i="1" s="1"/>
  <c r="K68" i="1"/>
  <c r="K69" i="1"/>
  <c r="O35" i="1"/>
  <c r="P35" i="1" s="1"/>
  <c r="O37" i="1"/>
  <c r="P37" i="1" s="1"/>
  <c r="O62" i="1"/>
  <c r="P62" i="1" s="1"/>
  <c r="O67" i="1"/>
  <c r="P67" i="1" s="1"/>
  <c r="O79" i="1"/>
  <c r="P79" i="1" s="1"/>
  <c r="O86" i="1"/>
  <c r="P86" i="1" s="1"/>
  <c r="O89" i="1"/>
  <c r="P89" i="1" s="1"/>
  <c r="O94" i="1"/>
  <c r="P94" i="1" s="1"/>
  <c r="O99" i="1"/>
  <c r="P99" i="1" s="1"/>
  <c r="O109" i="1"/>
  <c r="P109" i="1" s="1"/>
  <c r="O114" i="1"/>
  <c r="P114" i="1" s="1"/>
  <c r="O116" i="1"/>
  <c r="P116" i="1" s="1"/>
  <c r="O119" i="1"/>
  <c r="P119" i="1" s="1"/>
  <c r="O125" i="1"/>
  <c r="P125" i="1" s="1"/>
  <c r="K79" i="1"/>
  <c r="K86" i="1"/>
  <c r="K35" i="1"/>
  <c r="K99" i="1"/>
  <c r="K109" i="1"/>
  <c r="K114" i="1"/>
  <c r="K116" i="1"/>
  <c r="K119" i="1"/>
  <c r="K125" i="1"/>
  <c r="M15" i="2"/>
  <c r="M16" i="2"/>
  <c r="M17" i="2"/>
  <c r="M18" i="2"/>
  <c r="L15" i="2"/>
  <c r="L16" i="2"/>
  <c r="L17" i="2"/>
  <c r="L18" i="2"/>
  <c r="K15" i="2"/>
  <c r="K16" i="2"/>
  <c r="K17" i="2"/>
  <c r="K18" i="2"/>
  <c r="M14" i="2"/>
  <c r="L14" i="2"/>
  <c r="K14" i="2"/>
  <c r="J15" i="2"/>
  <c r="J16" i="2"/>
  <c r="J17" i="2"/>
  <c r="J18" i="2"/>
  <c r="J14" i="2"/>
  <c r="I15" i="2"/>
  <c r="I16" i="2"/>
  <c r="I17" i="2"/>
  <c r="I18" i="2"/>
  <c r="I14" i="2"/>
  <c r="K22" i="1"/>
  <c r="K25" i="1"/>
  <c r="K62" i="1"/>
  <c r="K67" i="1"/>
  <c r="K89" i="1"/>
  <c r="K94" i="1"/>
  <c r="K14" i="1"/>
  <c r="O15" i="1"/>
  <c r="P15" i="1" s="1"/>
  <c r="O22" i="1"/>
  <c r="P22" i="1" s="1"/>
  <c r="O25" i="1"/>
  <c r="P25" i="1" s="1"/>
  <c r="O14" i="1"/>
  <c r="P14" i="1" s="1"/>
</calcChain>
</file>

<file path=xl/sharedStrings.xml><?xml version="1.0" encoding="utf-8"?>
<sst xmlns="http://schemas.openxmlformats.org/spreadsheetml/2006/main" count="1607" uniqueCount="380">
  <si>
    <t>Structure No.</t>
  </si>
  <si>
    <t>Structure Type</t>
  </si>
  <si>
    <t>Carries</t>
  </si>
  <si>
    <t>Work Item</t>
  </si>
  <si>
    <t>Possible Consequence</t>
  </si>
  <si>
    <t>Current Risk</t>
  </si>
  <si>
    <t>Risk Mitigation Proposals</t>
  </si>
  <si>
    <t>Proposed Risk</t>
  </si>
  <si>
    <t>Status</t>
  </si>
  <si>
    <t>Liklihood</t>
  </si>
  <si>
    <t>Severity</t>
  </si>
  <si>
    <t>Rating</t>
  </si>
  <si>
    <t>Date Logged</t>
  </si>
  <si>
    <t>Open</t>
  </si>
  <si>
    <t>Ref: Network Rail CRAM v1.2 received 30/11/2018</t>
  </si>
  <si>
    <t xml:space="preserve">Impact area </t>
  </si>
  <si>
    <t xml:space="preserve">Safety/ 
Health/ 
Environment </t>
  </si>
  <si>
    <t xml:space="preserve">Event with the potential for less than 20 minor injuries or a single major injury (less than .1 FWI) 
Minor health effects not affecting work performance or causing disability, treatment applied by First Aider onsite e.g. minor cuts &amp; abrasions 
Negligible impact to a minimal area of low environmental significance, managed by internal control procedures (e.g. Spills &lt;20 litres; Fly tipping) </t>
  </si>
  <si>
    <t xml:space="preserve">Significant event with the potential of a single major injury to five major injuries (between .1 - .5 FWI) 
Minor health effects causing lost time injury 1-20 days with some impact on local level activities, e.g. MSK – musculoskeletal injury from manual handling with short term health issues 
Minor or minimal short-term impacts to the environment (e.g. Minor spill of &gt;20 litres; dust/odour; Disturbance to locally protected Biodiversity Action Plan (BAP) species or its habitat) </t>
  </si>
  <si>
    <t xml:space="preserve">Significant event with the potential of between five major injuries and two fatalities (between .5 and 2 FWI) 
Major health effects causing lost time injury 20+ days and/or redeployment, e.g. MSK with long term health issues, hand/arm vibration syndrome 
Significant impact to the wider environment, where short term (&lt; 6 months) restoration works are needed (e.g. Confirmed spread of an invasive species; Disturbance to a statutorily protected site or a 
European/nationally protected species or habitat; Damage to a Site of Special Scientific Interest (SSSI); destroying the habitat of a protected species) </t>
  </si>
  <si>
    <t xml:space="preserve">Catastrophic event with the potential of between two and 10 fatalities (between 2-10 FWI) 
Irreversible damage causing serious disability and more than 6 months off work or fatalities e.g. respirable crystalline silica (RCS) from ballast dust and asbestos from buildings to   renewals 
Major, persistent and/or extensive impact to the environment where longer term remediation is required (&gt; 6 months) e.g. Long term pollution involving toxic, hazardous or infectious materials/waste; Use of resources under threat of depletion; Damage to a statutorily protected site or a European / nationally protected species or habitat; 
Unlicensed killing of a small population of a 
European/ nationally protected species) </t>
  </si>
  <si>
    <t xml:space="preserve">Catastrophic event with the potential of over 10 fatalities (10 FWI) 
Catastrophic health effects causing multiple fatalities from long term exposure in the work place e.g. silica and asbestos or effect of ill health on work e.g. sudden incapacity for a Lookout or Train Driver  
Catastrophic and irreversible environmental damage (e.g. Irreparable damage  to protected sites and/or unlicensed killing of a local/regionally significant protected species population; Direct over-
consumption of natural resources causing irreversible depletion of that resource) </t>
  </si>
  <si>
    <t xml:space="preserve">Performance </t>
  </si>
  <si>
    <t xml:space="preserve">Planned disruption for up to a day on any one route 
Project &lt;1yr = &lt;=1 week schedule delays Project &gt;1yr = &lt;=2 weeks 
&lt;52hrs possession;  overrun &lt;=15mins 
52hrs – week possession; overrun &lt;=1hr 
1-4week possession; overrun &lt;= 4hrs </t>
  </si>
  <si>
    <t xml:space="preserve">Unplanned disruption (for up to a day) on any one route 
Project &lt;1yr = 1-2 weeks schedule delays  Project &gt;1yr = 2-4 weeks 
&lt;52hrs possession; overrun 15 - 30 minute 
52hrs – week possession; overrun 1-2hrs 
1-4week possession; overrun 4-7hrs </t>
  </si>
  <si>
    <t xml:space="preserve">Unplanned disruption (for up to a week) on any one route or Up to a day on multiple routes 
Project &lt;1yr = 2-4weeks  schedule delays  Project &gt;1yr = 4-8 weeks 
&lt;52hrs possession; overrun 30min to 1hr 
52hrs – week possession; overrun 2-4hrs 
1-4week possession; overrun 7-14hrs </t>
  </si>
  <si>
    <t xml:space="preserve">Unplanned disruption for over a week on multiple 
routes and limited access to station facilities 
Project &lt;1yr = 4-6 weeks schedule delays  
Project &gt;1yr = 8-12 weeks 
&lt;52hrs possession; overrun 1 – 2hrs 
52hrs – week possession; overrun 4-7hrs 
1-4week possession; overrun 14-26hrs </t>
  </si>
  <si>
    <t xml:space="preserve">All users experience prolonged and unplanned disruption to key routes. Access to major station facilities likely to be severely restricted Project &lt;1yr = &gt;6 weeks schedule delays  
Project &gt;1yr = &gt;12 weeks 
&lt;52hrs possession; overrun &gt;2 hrs  
52hrs – week possession; overrun &gt;7hrs 
1-4week possession; overrun &gt;26hrs </t>
  </si>
  <si>
    <t xml:space="preserve">Finance </t>
  </si>
  <si>
    <t xml:space="preserve">£0 - £2m OR Less than 3% of allocated budget  
Efficiency target 100% deliverable 
No Breach of cash limits </t>
  </si>
  <si>
    <t xml:space="preserve">£2 - 10m OR between 3% - 5% of allocated budget 
Efficiency target &gt;90% deliverable 
Minor breach of cash limits </t>
  </si>
  <si>
    <t xml:space="preserve">£10 - 50m OR between 5% and 7% of allocated budget 
Efficiency target 80-90% deliverable 
Minor to moderate breach of cash limits to create minimum value </t>
  </si>
  <si>
    <t xml:space="preserve">£50 - 250m OR between 7% and 10% of allocated budget 
Efficiency target 60-80% deliverable 
Moderate breach of cash limits where there is potential to create some value </t>
  </si>
  <si>
    <t xml:space="preserve">Over £250m OR Greater than 10% of allocated budget 
Efficiency target &lt;60% deliverable 
Significant breach of cash limit or where there is the potential to create significant value </t>
  </si>
  <si>
    <t xml:space="preserve">Asset 
Management </t>
  </si>
  <si>
    <t xml:space="preserve">Does not directly and adversely affect either railway infrastructure reliability or railway infrastructure condition 
Or 
Direct and adverse impact on railway infrastructure reliability or railway 
infrastructure condition is minimal Failure to achieve annual CRI target 
Failure to achieve annual contribution to the CSI target </t>
  </si>
  <si>
    <t xml:space="preserve">Directly and adversely affects railway infrastructure reliability within the current performance year 
Or 
Directly and adversely affects railway infrastructure 
condition within the current control period 
Failure to deliver 50%  CRI target value in year concerned Failure to achieve annual contribution by such a margin as this threatens CSI outturn for CP5 </t>
  </si>
  <si>
    <t xml:space="preserve">Directly and adversely affects railway infrastructure reliability over the current and 
next performance year 
Or 
Directly and adversely affects railway infrastructure condition over the current &amp; next control period 
Failure to improve CRI target value in 
Control Period (or 5 yr period) 
Failure to achieve CSI in CP5 </t>
  </si>
  <si>
    <t xml:space="preserve">Directly and adversely affects railway infrastructure reliability over the next 3-4 performance years 
Or 
Directly and adversely affects railway infrastructure condition over the next three control periods (11+ years) 
Deterioration in CRI between 10% to 49% in Control 
Period (or 5 yr period) – (against target) 
Failure by up to 0.5% to deliver CSI in CP5 </t>
  </si>
  <si>
    <t xml:space="preserve">Directly and adversely affects railway infrastructure reliability over the next 5+ performance years 
Or 
Directly and adversely affects railway infrastructure condition over the next four control periods (16+ years) 
Deterioration in CRI by &gt; 50% in Control Period (or 5 yr period) - (against target) 
A major shortfall in CSI by &gt;0.5% in CP5 </t>
  </si>
  <si>
    <t xml:space="preserve">Satisfaction &amp; Reputation </t>
  </si>
  <si>
    <t xml:space="preserve">Short-term 	adverse 	local 	stakeholder reaction 
Short term loss of morale with poor 
performance of non-critical activities 
Minor legal issues, non-compliance or breach of regulation. Legal challenge, minor out of court settlement limited to parties involved and expected outcome known No ORR action. </t>
  </si>
  <si>
    <t xml:space="preserve">Adverse local media reports over a period. Localised stakeholder concern. 
Minor 	disengagement. 	Effectiveness 	/ 	Efficiency 
compromised with service failures in non-critical activities 
Breach of regulation with investigation or report to authority with prosecution and/or moderate fine possible. Limited to parties involved but outcome uncertain 
Risk scores a 1 – 2 on the ORR regulatory escalator </t>
  </si>
  <si>
    <t xml:space="preserve">Significant local and / or regional reports including social media. 
National media interest creating public concern. 	Negative 	national 	stakeholder statements 	from 	both 	government departments and/or TOC/FOCs. 
Some disengagement leading to effectiveness / efficiency compromised in some critical activities. 
Serious breach of regulation. Major litigation/ Class action/ criminal prosecution/prohibition notice.  Local profile and outcomes uncertain.  
Risk scores a 3 on the ORR regulatory escalator </t>
  </si>
  <si>
    <t xml:space="preserve">Extensive prolonged diverse national reporting and public disputes with key stakeholders, e.g. breakdown of a TOC alliance. 
A major downturn in company-wide engagement leading to service failures within some critical activities. 
Significant prosecution and fines. Very serious litigation including class actions. National profile, impact on current/future business operations. Risk scores a 4 on the ORR regulatory escalator </t>
  </si>
  <si>
    <t xml:space="preserve">Extensive and prolonged negative reporting nationally or public disputes with key stakeholders, including political and/or TOC/FOCs. Escalation to external bodies inevitable &amp; impossible to contain in medium term. 
Potential for significant changes imposed on NR, its responsibilities and structure 
A significant downturn in companywide engagement. Serious failings across most services 
National profile, major impact on current and future business operation. Prosecution likely. Potential prison terms for executives and/or high fines for organisation. Multiple litigations. 
Risk scores 5  on the ORR regulatory escalator </t>
  </si>
  <si>
    <t xml:space="preserve">Liklihood </t>
  </si>
  <si>
    <t xml:space="preserve">Criteria </t>
  </si>
  <si>
    <t xml:space="preserve">&lt;5% 
Very Low likelihood the risk will occur 
Risk would occur less than once in 25 years </t>
  </si>
  <si>
    <t xml:space="preserve">5 – 20% 
Low likelihood the risk will occur 
Risk would occur between once in 25 years or up to once in 5 years </t>
  </si>
  <si>
    <t xml:space="preserve">21 – 50% 
Medium likelihood the risk will occur 
Risk would occur between once in 5 years to just less than once a year </t>
  </si>
  <si>
    <t xml:space="preserve">51 – 75%  
High likelihood the risk will occur 
Risk would occur between 1 and 5 times a year </t>
  </si>
  <si>
    <t xml:space="preserve">&gt;75% 
Very  High likelihood the risk will occur  
Risk would occur 5 times a year or more </t>
  </si>
  <si>
    <t>Acceptable</t>
  </si>
  <si>
    <t>Consider reasonably practicable improvements</t>
  </si>
  <si>
    <t>Consider practical improvements</t>
  </si>
  <si>
    <t>Unacceptable</t>
  </si>
  <si>
    <t>Intolerable</t>
  </si>
  <si>
    <t>Proposed Completion</t>
  </si>
  <si>
    <t>1 - 8</t>
  </si>
  <si>
    <t>9 - 11</t>
  </si>
  <si>
    <t>12 -14</t>
  </si>
  <si>
    <t>20 - 25</t>
  </si>
  <si>
    <t>15 - 19</t>
  </si>
  <si>
    <t>DAE2/16</t>
  </si>
  <si>
    <t>DAE2/18</t>
  </si>
  <si>
    <t>DAE2/19</t>
  </si>
  <si>
    <t>DAE2/20</t>
  </si>
  <si>
    <t>DAE3/4</t>
  </si>
  <si>
    <t>DAE3/5</t>
  </si>
  <si>
    <t>DAE3/8</t>
  </si>
  <si>
    <t>DAE3/12</t>
  </si>
  <si>
    <t>DAE3/13</t>
  </si>
  <si>
    <t>DAE3/14</t>
  </si>
  <si>
    <t>DAE3/15</t>
  </si>
  <si>
    <t>DAE3/18</t>
  </si>
  <si>
    <t>DAE3/19</t>
  </si>
  <si>
    <t>DAE3/20</t>
  </si>
  <si>
    <t>DAE3/21</t>
  </si>
  <si>
    <t>DAE3/23</t>
  </si>
  <si>
    <t>DAE3/24</t>
  </si>
  <si>
    <t>DAE3/25</t>
  </si>
  <si>
    <t>DAE3/28</t>
  </si>
  <si>
    <t>DAE3/29</t>
  </si>
  <si>
    <t>OB</t>
  </si>
  <si>
    <t>UB</t>
  </si>
  <si>
    <t>Structure Name</t>
  </si>
  <si>
    <t>Woodside Farm Bridge</t>
  </si>
  <si>
    <t>Paradise – Witton Park</t>
  </si>
  <si>
    <t>Etherley Viaduct</t>
  </si>
  <si>
    <t>Slotburn</t>
  </si>
  <si>
    <t>Clemmy Bank</t>
  </si>
  <si>
    <t>Low Garth Bridge</t>
  </si>
  <si>
    <t>McNeil’s Bridge</t>
  </si>
  <si>
    <t>Harperley Station Bridge – Low Harperley</t>
  </si>
  <si>
    <t>Eels Beck – Thornley Beck</t>
  </si>
  <si>
    <t>Bradley Beck – Bradley Burn</t>
  </si>
  <si>
    <t>Wolsingham Viaduct</t>
  </si>
  <si>
    <t>Ashes Beck – Ashes House</t>
  </si>
  <si>
    <t>Holebeck – Harelaw</t>
  </si>
  <si>
    <t>Bollihope Burn</t>
  </si>
  <si>
    <t>Broadwood Bridge</t>
  </si>
  <si>
    <t>Kielder – River Wear, Rogerley hall</t>
  </si>
  <si>
    <t>Cowburn</t>
  </si>
  <si>
    <t>Parson Byers Culvert</t>
  </si>
  <si>
    <t>Stanhope East – River</t>
  </si>
  <si>
    <t>Stanhope Station Footbridge</t>
  </si>
  <si>
    <t>Farm access over rail</t>
  </si>
  <si>
    <t>Rail over road</t>
  </si>
  <si>
    <t>Rail over water</t>
  </si>
  <si>
    <t>Rail over farm access</t>
  </si>
  <si>
    <t>Rail over water and road</t>
  </si>
  <si>
    <t>Pedestrian over rail</t>
  </si>
  <si>
    <t>Loose spalled and missing stonework</t>
  </si>
  <si>
    <t>Loss of strength to arch</t>
  </si>
  <si>
    <t>Recasing</t>
  </si>
  <si>
    <t>Fractures</t>
  </si>
  <si>
    <t>Repointing an tabbing</t>
  </si>
  <si>
    <t>Bulging</t>
  </si>
  <si>
    <t>Void or displaced material behind the arch</t>
  </si>
  <si>
    <t>Monitor regularly</t>
  </si>
  <si>
    <t>Entire deck is rotten/loose</t>
  </si>
  <si>
    <t>People falling through deck/deck falling on to trains</t>
  </si>
  <si>
    <t>Open joints</t>
  </si>
  <si>
    <t>Loss of mortar, loss of strength</t>
  </si>
  <si>
    <t>Repointing</t>
  </si>
  <si>
    <t>Loss of strength</t>
  </si>
  <si>
    <t>Repoint and tabbing</t>
  </si>
  <si>
    <t>Regular monitoring</t>
  </si>
  <si>
    <t>Section loss to the deck</t>
  </si>
  <si>
    <t>Clean and paint</t>
  </si>
  <si>
    <t>Broken handrail</t>
  </si>
  <si>
    <t>Worker falling from height</t>
  </si>
  <si>
    <t>Repair handrail</t>
  </si>
  <si>
    <t>Spalled and missing brickwork</t>
  </si>
  <si>
    <t>Vegetation obscurring elements</t>
  </si>
  <si>
    <t>Loss of strength due to roots causing damage
Unable to view possible defects under vegetation</t>
  </si>
  <si>
    <t>Vegetation removal</t>
  </si>
  <si>
    <t>Repointing and tabbing</t>
  </si>
  <si>
    <t>Significant fractures causing loss of strength</t>
  </si>
  <si>
    <t>Spalling</t>
  </si>
  <si>
    <t>Deep spalling causing loss of strength</t>
  </si>
  <si>
    <t>Spalling and loose stonework</t>
  </si>
  <si>
    <t>Void or displaced material behind Wingwall, risk of collapse</t>
  </si>
  <si>
    <t>Loss of mortar</t>
  </si>
  <si>
    <t>Corrosion</t>
  </si>
  <si>
    <t>Loss of strength to deck</t>
  </si>
  <si>
    <t>Displacement of wingwall</t>
  </si>
  <si>
    <t>Possible collapse</t>
  </si>
  <si>
    <t>Vegetation</t>
  </si>
  <si>
    <t>Monitoring and repointing</t>
  </si>
  <si>
    <t>Rotting timber deck</t>
  </si>
  <si>
    <t>Workers falling through deck</t>
  </si>
  <si>
    <t>Replace rotten timbers</t>
  </si>
  <si>
    <t>Spalled and missing stonework</t>
  </si>
  <si>
    <t>Undercutting to the training walls</t>
  </si>
  <si>
    <t>Collapse of wall</t>
  </si>
  <si>
    <t>Rock armour or concrete bagwork</t>
  </si>
  <si>
    <t>Spalling to the concrete</t>
  </si>
  <si>
    <t>Loss of strength and corrosion to the encased metal</t>
  </si>
  <si>
    <t>Concrete repairs</t>
  </si>
  <si>
    <t>Rotten ballast timbers</t>
  </si>
  <si>
    <t>Loss of ballast from the track bed in to the watercourse below</t>
  </si>
  <si>
    <t>Replace timbers</t>
  </si>
  <si>
    <t>Corrosion and pitting</t>
  </si>
  <si>
    <t>Undermining of the Abutment</t>
  </si>
  <si>
    <t>Collapse of the Abutment</t>
  </si>
  <si>
    <t>Rails could become unstable</t>
  </si>
  <si>
    <t>Rotting longitudinal timbers</t>
  </si>
  <si>
    <t>Fractured bedstone</t>
  </si>
  <si>
    <t>Supports main girder which could start hammering</t>
  </si>
  <si>
    <t>Repoint and tab</t>
  </si>
  <si>
    <t>Corrosion and pitting to deck</t>
  </si>
  <si>
    <t>Timber deck rotting</t>
  </si>
  <si>
    <t>Displaced stonework to training walls</t>
  </si>
  <si>
    <t>Collapse</t>
  </si>
  <si>
    <t>Repoint and monitor</t>
  </si>
  <si>
    <t>Corrosion and loss of section</t>
  </si>
  <si>
    <t>Loss of strength to the deck</t>
  </si>
  <si>
    <t>Undercutting of the aprons</t>
  </si>
  <si>
    <t>Scour and collapse of the aprons/piers</t>
  </si>
  <si>
    <t>Debris</t>
  </si>
  <si>
    <t>Could get lodged and cause damage and scour in the bed</t>
  </si>
  <si>
    <t>Removal of debris</t>
  </si>
  <si>
    <t>Spalling and missing bricks</t>
  </si>
  <si>
    <t>Bulging Wingwall</t>
  </si>
  <si>
    <t>Possible void is diplaced material behind, could lead to collapse</t>
  </si>
  <si>
    <t>Monitor</t>
  </si>
  <si>
    <t>Buckling to the cross girder</t>
  </si>
  <si>
    <t>Regularly monitor</t>
  </si>
  <si>
    <t>Rotting deck timbers</t>
  </si>
  <si>
    <t>Missing fasteners</t>
  </si>
  <si>
    <t>Loose walkway causing tripping hazard</t>
  </si>
  <si>
    <t>Replace missing fasteners</t>
  </si>
  <si>
    <t>Rotten timbers</t>
  </si>
  <si>
    <t>Tripping hazard</t>
  </si>
  <si>
    <t>Spans</t>
  </si>
  <si>
    <t>Metallic/Timber</t>
  </si>
  <si>
    <t>Metallic</t>
  </si>
  <si>
    <t>Masonry</t>
  </si>
  <si>
    <t>Concrete</t>
  </si>
  <si>
    <t>Immediately</t>
  </si>
  <si>
    <t>1 year</t>
  </si>
  <si>
    <t>6 months</t>
  </si>
  <si>
    <t>Ongoing</t>
  </si>
  <si>
    <t>1 month</t>
  </si>
  <si>
    <t>3 months</t>
  </si>
  <si>
    <t>Spalled stonework</t>
  </si>
  <si>
    <t>Undercutting to 2No wingwalls</t>
  </si>
  <si>
    <t>Risk of collapse</t>
  </si>
  <si>
    <t>Debris build up</t>
  </si>
  <si>
    <t>Can cause scour around the base of Piers</t>
  </si>
  <si>
    <t>Debris clearance</t>
  </si>
  <si>
    <t>Corrosion and LOS to deck</t>
  </si>
  <si>
    <t>Broken handrail section</t>
  </si>
  <si>
    <t>Worker falling</t>
  </si>
  <si>
    <t>Replace section</t>
  </si>
  <si>
    <t>Void or displaced material behind, risk of collapse</t>
  </si>
  <si>
    <t>Spalled concrete, looks to be purposefully removed</t>
  </si>
  <si>
    <t>Loss of strength, exposes metal to air, risk of corrosion</t>
  </si>
  <si>
    <t>Repair concrete</t>
  </si>
  <si>
    <t>Missing handrail section</t>
  </si>
  <si>
    <t>Spalled, loose, and missing brickwork</t>
  </si>
  <si>
    <t>The structure has restricted access</t>
  </si>
  <si>
    <t>DAE3/30</t>
  </si>
  <si>
    <t>DAE3/31</t>
  </si>
  <si>
    <t>DAE3/33</t>
  </si>
  <si>
    <t>DAE3/34</t>
  </si>
  <si>
    <t>DAE3/36</t>
  </si>
  <si>
    <t>DAE3/XX</t>
  </si>
  <si>
    <t>Stanhope West (River Wear)</t>
  </si>
  <si>
    <t>Flood Relief Bridge</t>
  </si>
  <si>
    <t>Crag Nook</t>
  </si>
  <si>
    <t>Rookhope Burn</t>
  </si>
  <si>
    <t>Culvert (Unknown Construction)</t>
  </si>
  <si>
    <t>Loss of section/knife edging to cross girders</t>
  </si>
  <si>
    <t>Loss of section to metallic handrails</t>
  </si>
  <si>
    <t>Surface corrosion to XGs/MGs</t>
  </si>
  <si>
    <t>Deck timbers rotten or loose</t>
  </si>
  <si>
    <t>People falling through deck</t>
  </si>
  <si>
    <t>Missing stonework across bearing shelf, PRT1 HM</t>
  </si>
  <si>
    <t>Mortar loss</t>
  </si>
  <si>
    <t>5 years</t>
  </si>
  <si>
    <t>De-vegetation</t>
  </si>
  <si>
    <t>Clean and paint or coat with linseed oil</t>
  </si>
  <si>
    <t>1  year</t>
  </si>
  <si>
    <t>Monitor, repaint or apply linseed oil</t>
  </si>
  <si>
    <t>Loss of strength to handrails, people falling</t>
  </si>
  <si>
    <t>Mortar loss and open joints</t>
  </si>
  <si>
    <t>Access now restricted, renew deck</t>
  </si>
  <si>
    <t>Monitor, repair if line reopens</t>
  </si>
  <si>
    <t>"Bridge Over Stream"</t>
  </si>
  <si>
    <t>Cracked/eroded abutment stones</t>
  </si>
  <si>
    <t>Monitor, install data tabs/Avonguards</t>
  </si>
  <si>
    <t>5 Years</t>
  </si>
  <si>
    <t>Leaching/water ingress</t>
  </si>
  <si>
    <t>Corrosion to handrails</t>
  </si>
  <si>
    <t>People falling through deck, inability to inspect entire structure</t>
  </si>
  <si>
    <t>ABT1 signs of distress/displacement</t>
  </si>
  <si>
    <t>Monitor, strengthen if line reopens</t>
  </si>
  <si>
    <t>Displacement to ground beneath track formation</t>
  </si>
  <si>
    <t>Track discontinuities, loss of ballast shoulder, washout risk</t>
  </si>
  <si>
    <t>Monitor, inspect after major storms, replace structure if line reopens</t>
  </si>
  <si>
    <t>Un-named culvert                              (14m 0929yds)</t>
  </si>
  <si>
    <t>Loss of strength due to roots causing damage
Inspection of culvert not possible.</t>
  </si>
  <si>
    <t>CCTV inspection</t>
  </si>
  <si>
    <t>Condition of culvert structure unknown</t>
  </si>
  <si>
    <t>Unknown defects, signs of distress clearly visible</t>
  </si>
  <si>
    <t>Clean and paint, replace members if reopened</t>
  </si>
  <si>
    <t>Rivets heavily corroded</t>
  </si>
  <si>
    <t>Route not open to traffic, unlikely to cause issues without rail loading, replace if route reopens</t>
  </si>
  <si>
    <t>Cracked pier stonework</t>
  </si>
  <si>
    <t>Lack of anti-trespass signage</t>
  </si>
  <si>
    <t>Trespassing on the railway track, very little access in emergencies</t>
  </si>
  <si>
    <t>Install anti-trespass signage</t>
  </si>
  <si>
    <t>DAE2/XX</t>
  </si>
  <si>
    <t>Broken Banks Culvert</t>
  </si>
  <si>
    <t>Spalled masonry</t>
  </si>
  <si>
    <t xml:space="preserve">Debris buildup </t>
  </si>
  <si>
    <t xml:space="preserve">Loss of strength </t>
  </si>
  <si>
    <t>Collapsed retaining wall</t>
  </si>
  <si>
    <t>Collapsed headwall</t>
  </si>
  <si>
    <t>Apron undercutting</t>
  </si>
  <si>
    <t>Risk of further collapse and strcutural instability</t>
  </si>
  <si>
    <t>Scour and collaspe of the apron and retaining walls</t>
  </si>
  <si>
    <t>Blocked culvert and upstream flooding</t>
  </si>
  <si>
    <t>Rebuild retainging wall</t>
  </si>
  <si>
    <t>Monitor and rebuild headwall</t>
  </si>
  <si>
    <t xml:space="preserve">Monitor and repair </t>
  </si>
  <si>
    <t>Debris removal</t>
  </si>
  <si>
    <t>DAE2/11A</t>
  </si>
  <si>
    <t>Etherly Dene Culvert</t>
  </si>
  <si>
    <t>Spalled and missing masonry</t>
  </si>
  <si>
    <t>Debris buildup</t>
  </si>
  <si>
    <t>Displaced slab</t>
  </si>
  <si>
    <t>Monitor and replace if necessary</t>
  </si>
  <si>
    <t>DAE3/2</t>
  </si>
  <si>
    <t>Enginerman's Cottage</t>
  </si>
  <si>
    <t>Spalled, loose and missing masonry</t>
  </si>
  <si>
    <t xml:space="preserve">Collapsed wingwall </t>
  </si>
  <si>
    <t>Scoured riverbed and debris buildup</t>
  </si>
  <si>
    <t>Loss of strength, possible collapse</t>
  </si>
  <si>
    <t>Risk of further collapse and structural instability</t>
  </si>
  <si>
    <t>Structural instability, blocked culvert and upstream flooding</t>
  </si>
  <si>
    <t>Rebuild wingwall</t>
  </si>
  <si>
    <t>Infill scour hole and remove debris</t>
  </si>
  <si>
    <t>DAE3/3A</t>
  </si>
  <si>
    <t>Nature Reserve</t>
  </si>
  <si>
    <t>DAE3/5A</t>
  </si>
  <si>
    <t>Witton-le-Wear</t>
  </si>
  <si>
    <t>Silt and debris buildup</t>
  </si>
  <si>
    <t>DAE3/7</t>
  </si>
  <si>
    <t>Chapman Hill Culvert</t>
  </si>
  <si>
    <t>DAE3/9</t>
  </si>
  <si>
    <t>Wadley Beck</t>
  </si>
  <si>
    <t>Spalling, loose and missing masonry</t>
  </si>
  <si>
    <t>Displaced masonry</t>
  </si>
  <si>
    <t>Collapse of retaining wall</t>
  </si>
  <si>
    <t xml:space="preserve">Recasing and monitor </t>
  </si>
  <si>
    <t>DAE3/10</t>
  </si>
  <si>
    <t>Low Shipley Culvert</t>
  </si>
  <si>
    <t>DAE3/11</t>
  </si>
  <si>
    <t>Low Shipley No2</t>
  </si>
  <si>
    <t>AMCO pipe/masonry</t>
  </si>
  <si>
    <t>Missing brickwork</t>
  </si>
  <si>
    <t>DAE3/11A</t>
  </si>
  <si>
    <t>Harperly Hall</t>
  </si>
  <si>
    <t>Missing masonry</t>
  </si>
  <si>
    <t>Monitoring and rebuild</t>
  </si>
  <si>
    <t>Debric removal</t>
  </si>
  <si>
    <t>DAE3/14A</t>
  </si>
  <si>
    <t>Scotch Isle Farm</t>
  </si>
  <si>
    <t>Monitoring and recasing</t>
  </si>
  <si>
    <t>Monitoring and vegetation removal</t>
  </si>
  <si>
    <t>DAE3/22A</t>
  </si>
  <si>
    <t>Bridge End Culvert</t>
  </si>
  <si>
    <t>Masonry/gabions</t>
  </si>
  <si>
    <t>Missing and displaced slabs</t>
  </si>
  <si>
    <t xml:space="preserve">Collapsed fencing </t>
  </si>
  <si>
    <t>Loss of strength to soffit</t>
  </si>
  <si>
    <t>Collapse, loss of strength</t>
  </si>
  <si>
    <t>Worker trip over or fall</t>
  </si>
  <si>
    <t>Monitor and recase</t>
  </si>
  <si>
    <t>Rebuild fencing</t>
  </si>
  <si>
    <t>Clean and paint or apply linseed oil</t>
  </si>
  <si>
    <t>Next Exam</t>
  </si>
  <si>
    <t>Last Exam</t>
  </si>
  <si>
    <t>Material Type</t>
  </si>
  <si>
    <t xml:space="preserve">Lower </t>
  </si>
  <si>
    <t xml:space="preserve">Standard </t>
  </si>
  <si>
    <t>Higher</t>
  </si>
  <si>
    <t xml:space="preserve">Aluminium </t>
  </si>
  <si>
    <t>Brick arch</t>
  </si>
  <si>
    <t xml:space="preserve">Primary material type of Bridge </t>
  </si>
  <si>
    <t>Interval Years</t>
  </si>
  <si>
    <t>Cast iron structural elements that carry rail and/or road traffic loads and which are subject to tensile stress</t>
  </si>
  <si>
    <t>Cast iron structural elements that are not subject to tensile stress</t>
  </si>
  <si>
    <t>Cast in situ reinforced concrete</t>
  </si>
  <si>
    <t>Early steel (pre-1956)</t>
  </si>
  <si>
    <t>Fibre-reinforced polymer (FRP)</t>
  </si>
  <si>
    <t>Mass concrete</t>
  </si>
  <si>
    <t>Steel</t>
  </si>
  <si>
    <t xml:space="preserve">Stone </t>
  </si>
  <si>
    <t>Timber</t>
  </si>
  <si>
    <t xml:space="preserve">Weathering Steel </t>
  </si>
  <si>
    <t xml:space="preserve">Wrought iron </t>
  </si>
  <si>
    <t xml:space="preserve">Pre-tensioned concrete </t>
  </si>
  <si>
    <t xml:space="preserve">Pre-cast concrete </t>
  </si>
  <si>
    <t>Post-tensioned concrete</t>
  </si>
  <si>
    <t xml:space="preserve">Inspection Frequency </t>
  </si>
  <si>
    <t>Detailed Exam Regime (yrs)</t>
  </si>
  <si>
    <t>DAE2/18A</t>
  </si>
  <si>
    <t>Witton Park Culvert</t>
  </si>
  <si>
    <t>Missing brickwork (Downstream Headwall)</t>
  </si>
  <si>
    <t>Collapse and buildup affecting railway section</t>
  </si>
  <si>
    <t>Repair headwall</t>
  </si>
  <si>
    <t>Unknown</t>
  </si>
  <si>
    <t>Unexamined sections</t>
  </si>
  <si>
    <t>Unknown defects throughout</t>
  </si>
  <si>
    <t>Undertake full detailed exam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</si>
</sst>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F800]dddd\,\ mmmm\ dd\,\ yyyy"/>
    <numFmt numFmtId="166" formatCode="dd/mm/yyyy;@"/>
  </numFmts>
  <fonts count="10" x14ac:knownFonts="1">
    <font>
      <sz val="11"/>
      <color theme="1"/>
      <name val="Calibri"/>
      <family val="2"/>
      <scheme val="minor"/>
    </font>
    <font>
      <b/>
      <sz val="11"/>
      <color theme="1"/>
      <name val="Calibri"/>
      <family val="2"/>
      <scheme val="minor"/>
    </font>
    <font>
      <sz val="10"/>
      <name val="Arial"/>
      <family val="2"/>
    </font>
    <font>
      <sz val="11"/>
      <color theme="1"/>
      <name val="Century Gothic"/>
      <family val="2"/>
    </font>
    <font>
      <b/>
      <sz val="10"/>
      <color rgb="FF000000"/>
      <name val="Century Gothic"/>
      <family val="2"/>
    </font>
    <font>
      <b/>
      <sz val="11"/>
      <color theme="1"/>
      <name val="Century Gothic"/>
      <family val="2"/>
    </font>
    <font>
      <b/>
      <sz val="11"/>
      <name val="Calibri"/>
      <family val="2"/>
      <scheme val="minor"/>
    </font>
    <font>
      <sz val="11"/>
      <name val="Calibri"/>
      <family val="2"/>
      <scheme val="minor"/>
    </font>
    <font>
      <sz val="11"/>
      <color rgb="FF9C0006"/>
      <name val="Calibri"/>
      <family val="2"/>
      <scheme val="minor"/>
    </font>
    <font>
      <sz val="8"/>
      <name val="Calibri"/>
      <family val="2"/>
      <scheme val="minor"/>
    </font>
  </fonts>
  <fills count="8">
    <fill>
      <patternFill patternType="none"/>
    </fill>
    <fill>
      <patternFill patternType="gray125"/>
    </fill>
    <fill>
      <patternFill patternType="solid">
        <fgColor theme="8" tint="0.79998168889431442"/>
        <bgColor indexed="64"/>
      </patternFill>
    </fill>
    <fill>
      <patternFill patternType="solid">
        <fgColor theme="3" tint="0.79998168889431442"/>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7CE"/>
      </patternFill>
    </fill>
  </fills>
  <borders count="43">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right/>
      <top/>
      <bottom style="thin">
        <color indexed="64"/>
      </bottom>
      <diagonal/>
    </border>
    <border>
      <left/>
      <right style="medium">
        <color indexed="64"/>
      </right>
      <top style="thin">
        <color indexed="64"/>
      </top>
      <bottom/>
      <diagonal/>
    </border>
    <border>
      <left/>
      <right/>
      <top style="thin">
        <color indexed="64"/>
      </top>
      <bottom/>
      <diagonal/>
    </border>
    <border>
      <left style="medium">
        <color indexed="64"/>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thin">
        <color indexed="64"/>
      </top>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medium">
        <color indexed="64"/>
      </top>
      <bottom/>
      <diagonal/>
    </border>
    <border>
      <left/>
      <right style="thin">
        <color indexed="64"/>
      </right>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s>
  <cellStyleXfs count="3">
    <xf numFmtId="0" fontId="0" fillId="0" borderId="0"/>
    <xf numFmtId="0" fontId="2" fillId="0" borderId="0"/>
    <xf numFmtId="0" fontId="8" fillId="7" borderId="0" applyNumberFormat="0" applyBorder="0" applyAlignment="0" applyProtection="0"/>
  </cellStyleXfs>
  <cellXfs count="155">
    <xf numFmtId="0" fontId="0" fillId="0" borderId="0" xfId="0"/>
    <xf numFmtId="0" fontId="0" fillId="0" borderId="0" xfId="0" applyAlignment="1">
      <alignment horizontal="center"/>
    </xf>
    <xf numFmtId="0" fontId="3" fillId="0" borderId="0" xfId="0" applyFont="1"/>
    <xf numFmtId="0" fontId="5" fillId="3" borderId="1" xfId="0" applyFont="1" applyFill="1" applyBorder="1" applyAlignment="1">
      <alignment horizontal="center"/>
    </xf>
    <xf numFmtId="0" fontId="3" fillId="0" borderId="1" xfId="0" applyFont="1" applyBorder="1" applyAlignment="1">
      <alignment vertical="center" wrapText="1"/>
    </xf>
    <xf numFmtId="0" fontId="3" fillId="0" borderId="1" xfId="0" applyFont="1" applyBorder="1" applyAlignment="1">
      <alignment wrapText="1"/>
    </xf>
    <xf numFmtId="0" fontId="0" fillId="0" borderId="0" xfId="0" applyAlignment="1">
      <alignment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xf>
    <xf numFmtId="0" fontId="0" fillId="4" borderId="2" xfId="0" applyFill="1" applyBorder="1" applyAlignment="1">
      <alignment horizontal="center"/>
    </xf>
    <xf numFmtId="0" fontId="0" fillId="4" borderId="1" xfId="0" applyFill="1" applyBorder="1"/>
    <xf numFmtId="0" fontId="0" fillId="0" borderId="7" xfId="0" applyBorder="1" applyAlignment="1">
      <alignment horizontal="center"/>
    </xf>
    <xf numFmtId="0" fontId="0" fillId="5" borderId="1" xfId="0" applyFill="1" applyBorder="1"/>
    <xf numFmtId="0" fontId="0" fillId="6" borderId="1" xfId="0" applyFill="1" applyBorder="1"/>
    <xf numFmtId="49" fontId="0" fillId="6" borderId="1" xfId="0" applyNumberFormat="1" applyFill="1" applyBorder="1" applyAlignment="1">
      <alignment horizontal="center"/>
    </xf>
    <xf numFmtId="0" fontId="0" fillId="6" borderId="2" xfId="0" applyFill="1" applyBorder="1" applyAlignment="1">
      <alignment horizontal="center"/>
    </xf>
    <xf numFmtId="0" fontId="0" fillId="5" borderId="2" xfId="0" applyFill="1" applyBorder="1" applyAlignment="1">
      <alignment horizontal="center"/>
    </xf>
    <xf numFmtId="49" fontId="0" fillId="4" borderId="1" xfId="0" applyNumberFormat="1" applyFill="1" applyBorder="1" applyAlignment="1">
      <alignment horizontal="center"/>
    </xf>
    <xf numFmtId="49" fontId="0" fillId="5" borderId="1" xfId="0" applyNumberFormat="1" applyFill="1" applyBorder="1" applyAlignment="1">
      <alignment horizontal="center"/>
    </xf>
    <xf numFmtId="49" fontId="0" fillId="0" borderId="0" xfId="0" applyNumberFormat="1"/>
    <xf numFmtId="0" fontId="0" fillId="0" borderId="0" xfId="0" applyAlignment="1">
      <alignment horizontal="left" vertical="top"/>
    </xf>
    <xf numFmtId="0" fontId="0" fillId="0" borderId="0" xfId="0" applyAlignment="1">
      <alignment horizontal="center" vertical="top"/>
    </xf>
    <xf numFmtId="0" fontId="0" fillId="0" borderId="0" xfId="0" applyAlignment="1">
      <alignment vertical="top"/>
    </xf>
    <xf numFmtId="0" fontId="4" fillId="3" borderId="14" xfId="0" applyFont="1" applyFill="1" applyBorder="1" applyAlignment="1">
      <alignment horizontal="center" vertical="center" wrapText="1"/>
    </xf>
    <xf numFmtId="0" fontId="5" fillId="3" borderId="10" xfId="0" applyFont="1" applyFill="1" applyBorder="1" applyAlignment="1">
      <alignment horizontal="center"/>
    </xf>
    <xf numFmtId="0" fontId="5" fillId="3" borderId="15" xfId="0" applyFont="1" applyFill="1" applyBorder="1" applyAlignment="1">
      <alignment horizontal="center"/>
    </xf>
    <xf numFmtId="0" fontId="5" fillId="0" borderId="16" xfId="0" applyFont="1" applyBorder="1" applyAlignment="1">
      <alignment vertical="center" wrapText="1"/>
    </xf>
    <xf numFmtId="0" fontId="3" fillId="0" borderId="7" xfId="0" applyFont="1" applyBorder="1" applyAlignment="1">
      <alignment vertical="center" wrapText="1"/>
    </xf>
    <xf numFmtId="0" fontId="5" fillId="0" borderId="16" xfId="0" applyFont="1" applyBorder="1" applyAlignment="1">
      <alignment vertical="center"/>
    </xf>
    <xf numFmtId="0" fontId="3" fillId="0" borderId="7" xfId="0" applyFont="1" applyBorder="1" applyAlignment="1">
      <alignment wrapText="1"/>
    </xf>
    <xf numFmtId="0" fontId="4" fillId="3" borderId="16" xfId="0" applyFont="1" applyFill="1" applyBorder="1" applyAlignment="1">
      <alignment horizontal="center" vertical="center" wrapText="1"/>
    </xf>
    <xf numFmtId="0" fontId="5" fillId="3" borderId="7" xfId="0" applyFont="1" applyFill="1" applyBorder="1" applyAlignment="1">
      <alignment horizontal="center"/>
    </xf>
    <xf numFmtId="0" fontId="5" fillId="0" borderId="17" xfId="0" applyFont="1" applyBorder="1" applyAlignment="1">
      <alignment vertical="center"/>
    </xf>
    <xf numFmtId="0" fontId="3" fillId="0" borderId="8" xfId="0" applyFont="1" applyBorder="1" applyAlignment="1">
      <alignment vertical="center" wrapText="1"/>
    </xf>
    <xf numFmtId="0" fontId="3" fillId="0" borderId="18" xfId="0" applyFont="1" applyBorder="1" applyAlignment="1">
      <alignment vertical="center" wrapText="1"/>
    </xf>
    <xf numFmtId="0" fontId="0" fillId="0" borderId="0" xfId="0" applyAlignment="1">
      <alignment horizontal="center" vertical="top" wrapText="1"/>
    </xf>
    <xf numFmtId="0" fontId="1" fillId="0" borderId="0" xfId="0" applyFont="1" applyAlignment="1">
      <alignment vertical="top"/>
    </xf>
    <xf numFmtId="0" fontId="0" fillId="0" borderId="22" xfId="0" applyBorder="1" applyAlignment="1">
      <alignment horizontal="center" vertical="top"/>
    </xf>
    <xf numFmtId="0" fontId="0" fillId="0" borderId="23" xfId="0" applyBorder="1" applyAlignment="1">
      <alignment vertical="top"/>
    </xf>
    <xf numFmtId="0" fontId="1" fillId="0" borderId="23" xfId="0" applyFont="1" applyBorder="1" applyAlignment="1">
      <alignment vertical="top"/>
    </xf>
    <xf numFmtId="0" fontId="0" fillId="0" borderId="0" xfId="0" applyAlignment="1">
      <alignment horizontal="left" vertical="top" wrapText="1"/>
    </xf>
    <xf numFmtId="0" fontId="1" fillId="0" borderId="25" xfId="0" applyFont="1" applyBorder="1" applyAlignment="1">
      <alignment vertical="top"/>
    </xf>
    <xf numFmtId="0" fontId="0" fillId="0" borderId="28" xfId="0" applyBorder="1" applyAlignment="1">
      <alignment horizontal="center" vertical="top" wrapText="1"/>
    </xf>
    <xf numFmtId="0" fontId="0" fillId="0" borderId="28" xfId="0" applyBorder="1" applyAlignment="1">
      <alignment horizontal="center"/>
    </xf>
    <xf numFmtId="0" fontId="0" fillId="0" borderId="29" xfId="0" applyBorder="1" applyAlignment="1">
      <alignment horizontal="center"/>
    </xf>
    <xf numFmtId="0" fontId="0" fillId="0" borderId="28" xfId="0" applyBorder="1" applyAlignment="1">
      <alignment horizontal="center" vertical="top"/>
    </xf>
    <xf numFmtId="0" fontId="0" fillId="0" borderId="30" xfId="0" applyBorder="1" applyAlignment="1">
      <alignment vertical="top"/>
    </xf>
    <xf numFmtId="0" fontId="0" fillId="0" borderId="31" xfId="0" applyBorder="1" applyAlignment="1">
      <alignment vertical="top"/>
    </xf>
    <xf numFmtId="14" fontId="0" fillId="0" borderId="34" xfId="0" applyNumberFormat="1" applyBorder="1" applyAlignment="1">
      <alignment horizontal="center" vertical="top"/>
    </xf>
    <xf numFmtId="165" fontId="0" fillId="0" borderId="34" xfId="0" applyNumberFormat="1" applyBorder="1" applyAlignment="1">
      <alignment horizontal="center" vertical="top"/>
    </xf>
    <xf numFmtId="0" fontId="0" fillId="0" borderId="34" xfId="0" applyBorder="1" applyAlignment="1">
      <alignment horizontal="center" vertical="top"/>
    </xf>
    <xf numFmtId="14" fontId="0" fillId="0" borderId="34" xfId="0" applyNumberFormat="1" applyBorder="1" applyAlignment="1">
      <alignment vertical="top"/>
    </xf>
    <xf numFmtId="0" fontId="7" fillId="0" borderId="28" xfId="0" applyFont="1" applyBorder="1" applyAlignment="1">
      <alignment horizontal="center" vertical="center" wrapText="1"/>
    </xf>
    <xf numFmtId="0" fontId="0" fillId="0" borderId="12" xfId="0" applyBorder="1" applyAlignment="1">
      <alignment horizontal="center" vertical="top" wrapText="1"/>
    </xf>
    <xf numFmtId="0" fontId="0" fillId="0" borderId="13" xfId="0" applyBorder="1" applyAlignment="1">
      <alignment vertical="top"/>
    </xf>
    <xf numFmtId="14" fontId="0" fillId="0" borderId="2" xfId="0" applyNumberFormat="1" applyBorder="1" applyAlignment="1">
      <alignment vertical="top"/>
    </xf>
    <xf numFmtId="0" fontId="0" fillId="0" borderId="0" xfId="0" applyAlignment="1">
      <alignment vertical="top" wrapText="1"/>
    </xf>
    <xf numFmtId="0" fontId="0" fillId="0" borderId="2" xfId="0" applyBorder="1" applyAlignment="1">
      <alignment horizontal="center" vertical="top"/>
    </xf>
    <xf numFmtId="0" fontId="7" fillId="0" borderId="0" xfId="0" applyFont="1" applyAlignment="1">
      <alignment horizontal="center" vertical="top" wrapText="1"/>
    </xf>
    <xf numFmtId="0" fontId="0" fillId="0" borderId="12" xfId="0" applyBorder="1" applyAlignment="1">
      <alignment horizontal="center" vertical="top"/>
    </xf>
    <xf numFmtId="0" fontId="0" fillId="0" borderId="29" xfId="0" applyBorder="1" applyAlignment="1">
      <alignment horizontal="center" vertical="top"/>
    </xf>
    <xf numFmtId="0" fontId="0" fillId="0" borderId="25"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left" vertical="top"/>
    </xf>
    <xf numFmtId="0" fontId="0" fillId="0" borderId="32" xfId="0" applyBorder="1" applyAlignment="1">
      <alignment vertical="top"/>
    </xf>
    <xf numFmtId="0" fontId="0" fillId="0" borderId="25" xfId="0" applyBorder="1" applyAlignment="1">
      <alignment vertical="top"/>
    </xf>
    <xf numFmtId="14" fontId="0" fillId="0" borderId="35" xfId="0" applyNumberFormat="1" applyBorder="1" applyAlignment="1">
      <alignment vertical="top"/>
    </xf>
    <xf numFmtId="0" fontId="0" fillId="0" borderId="35" xfId="0" applyBorder="1" applyAlignment="1">
      <alignment horizontal="center" vertical="top"/>
    </xf>
    <xf numFmtId="0" fontId="0" fillId="0" borderId="36" xfId="0" applyBorder="1" applyAlignment="1">
      <alignment horizontal="center"/>
    </xf>
    <xf numFmtId="0" fontId="1" fillId="2" borderId="8" xfId="0" applyFont="1" applyFill="1" applyBorder="1" applyAlignment="1">
      <alignment horizontal="center"/>
    </xf>
    <xf numFmtId="164" fontId="1" fillId="2" borderId="8" xfId="0" applyNumberFormat="1" applyFont="1" applyFill="1" applyBorder="1" applyAlignment="1">
      <alignment horizontal="center" wrapText="1"/>
    </xf>
    <xf numFmtId="0" fontId="0" fillId="0" borderId="28" xfId="0" applyBorder="1" applyAlignment="1">
      <alignment horizontal="center" vertical="center" wrapText="1"/>
    </xf>
    <xf numFmtId="0" fontId="0" fillId="0" borderId="12" xfId="0" applyBorder="1" applyAlignment="1">
      <alignment horizontal="center" vertical="center" wrapText="1"/>
    </xf>
    <xf numFmtId="0" fontId="0" fillId="0" borderId="0" xfId="0" applyAlignment="1">
      <alignment horizontal="center" vertical="center" wrapText="1"/>
    </xf>
    <xf numFmtId="0" fontId="0" fillId="0" borderId="22" xfId="0" applyBorder="1" applyAlignment="1">
      <alignment horizontal="center" vertical="center" wrapText="1"/>
    </xf>
    <xf numFmtId="0" fontId="0" fillId="0" borderId="31" xfId="0" applyBorder="1" applyAlignment="1">
      <alignment horizontal="center"/>
    </xf>
    <xf numFmtId="164" fontId="0" fillId="0" borderId="34" xfId="0" applyNumberForma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center"/>
    </xf>
    <xf numFmtId="0" fontId="7" fillId="0" borderId="29" xfId="0" applyFont="1" applyBorder="1" applyAlignment="1">
      <alignment horizontal="center" vertical="center" wrapText="1"/>
    </xf>
    <xf numFmtId="0" fontId="0" fillId="0" borderId="36" xfId="0" applyBorder="1" applyAlignment="1">
      <alignment horizontal="center" vertical="top" wrapText="1"/>
    </xf>
    <xf numFmtId="0" fontId="0" fillId="0" borderId="29" xfId="0" applyBorder="1" applyAlignment="1">
      <alignment horizontal="center" vertical="top" wrapText="1"/>
    </xf>
    <xf numFmtId="0" fontId="7" fillId="0" borderId="25" xfId="0" applyFont="1" applyBorder="1" applyAlignment="1">
      <alignment horizontal="center" vertical="top" wrapText="1"/>
    </xf>
    <xf numFmtId="14" fontId="0" fillId="0" borderId="35" xfId="0" applyNumberFormat="1" applyBorder="1" applyAlignment="1">
      <alignment horizontal="center" vertical="top"/>
    </xf>
    <xf numFmtId="165" fontId="0" fillId="0" borderId="35" xfId="0" applyNumberFormat="1" applyBorder="1" applyAlignment="1">
      <alignment horizontal="center" vertical="top"/>
    </xf>
    <xf numFmtId="0" fontId="0" fillId="0" borderId="25" xfId="0" applyBorder="1" applyAlignment="1">
      <alignment horizontal="center" vertical="top" wrapText="1"/>
    </xf>
    <xf numFmtId="0" fontId="0" fillId="0" borderId="31" xfId="0" applyBorder="1" applyAlignment="1">
      <alignment horizontal="right"/>
    </xf>
    <xf numFmtId="0" fontId="0" fillId="0" borderId="0" xfId="0" applyAlignment="1">
      <alignment horizontal="right"/>
    </xf>
    <xf numFmtId="165" fontId="0" fillId="0" borderId="0" xfId="0" applyNumberFormat="1" applyAlignment="1">
      <alignment horizontal="center" vertical="top"/>
    </xf>
    <xf numFmtId="165" fontId="0" fillId="0" borderId="25" xfId="0" applyNumberFormat="1" applyBorder="1" applyAlignment="1">
      <alignment horizontal="center" vertical="top"/>
    </xf>
    <xf numFmtId="166" fontId="0" fillId="0" borderId="34" xfId="0" applyNumberFormat="1" applyBorder="1" applyAlignment="1">
      <alignment vertical="top"/>
    </xf>
    <xf numFmtId="166" fontId="0" fillId="0" borderId="34" xfId="0" applyNumberFormat="1" applyBorder="1" applyAlignment="1">
      <alignment horizontal="center" vertical="top"/>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0" fillId="0" borderId="32" xfId="0" applyBorder="1"/>
    <xf numFmtId="0" fontId="0" fillId="0" borderId="31" xfId="0" applyBorder="1" applyAlignment="1">
      <alignment horizontal="left"/>
    </xf>
    <xf numFmtId="14" fontId="0" fillId="0" borderId="34" xfId="0" applyNumberFormat="1" applyBorder="1"/>
    <xf numFmtId="14" fontId="0" fillId="0" borderId="35" xfId="0" applyNumberFormat="1" applyBorder="1"/>
    <xf numFmtId="0" fontId="0" fillId="0" borderId="30" xfId="0" applyBorder="1"/>
    <xf numFmtId="0" fontId="0" fillId="0" borderId="31" xfId="0" applyBorder="1"/>
    <xf numFmtId="166" fontId="0" fillId="0" borderId="35" xfId="0" applyNumberFormat="1" applyBorder="1" applyAlignment="1">
      <alignment vertical="top"/>
    </xf>
    <xf numFmtId="0" fontId="8" fillId="7" borderId="0" xfId="2" applyBorder="1" applyAlignment="1">
      <alignment vertical="top"/>
    </xf>
    <xf numFmtId="0" fontId="0" fillId="0" borderId="1" xfId="0" applyBorder="1" applyAlignment="1">
      <alignment horizontal="center"/>
    </xf>
    <xf numFmtId="0" fontId="0" fillId="0" borderId="16" xfId="0" applyBorder="1"/>
    <xf numFmtId="0" fontId="0" fillId="0" borderId="16" xfId="0" applyBorder="1" applyAlignment="1">
      <alignment wrapText="1"/>
    </xf>
    <xf numFmtId="0" fontId="0" fillId="0" borderId="17" xfId="0" applyBorder="1"/>
    <xf numFmtId="0" fontId="0" fillId="0" borderId="8" xfId="0" applyBorder="1" applyAlignment="1">
      <alignment horizontal="center"/>
    </xf>
    <xf numFmtId="0" fontId="0" fillId="0" borderId="18" xfId="0" applyBorder="1" applyAlignment="1">
      <alignment horizontal="center"/>
    </xf>
    <xf numFmtId="0" fontId="0" fillId="0" borderId="27" xfId="0" applyBorder="1" applyAlignment="1">
      <alignment horizontal="center"/>
    </xf>
    <xf numFmtId="0" fontId="0" fillId="0" borderId="28" xfId="0" applyBorder="1" applyAlignment="1">
      <alignment horizontal="center" vertical="center"/>
    </xf>
    <xf numFmtId="0" fontId="0" fillId="0" borderId="22" xfId="0" applyBorder="1" applyAlignment="1">
      <alignment horizontal="center" vertical="center"/>
    </xf>
    <xf numFmtId="0" fontId="0" fillId="0" borderId="13" xfId="0" applyBorder="1" applyAlignment="1">
      <alignment horizontal="center" vertical="center"/>
    </xf>
    <xf numFmtId="0" fontId="0" fillId="0" borderId="21" xfId="0" applyBorder="1" applyAlignment="1">
      <alignment horizontal="center" vertical="center"/>
    </xf>
    <xf numFmtId="0" fontId="0" fillId="0" borderId="13" xfId="0" applyBorder="1" applyAlignment="1">
      <alignment horizontal="center" vertical="center" wrapText="1"/>
    </xf>
    <xf numFmtId="0" fontId="0" fillId="0" borderId="11" xfId="0" applyBorder="1" applyAlignment="1">
      <alignment horizontal="center" vertical="top"/>
    </xf>
    <xf numFmtId="0" fontId="0" fillId="0" borderId="27" xfId="0" applyBorder="1" applyAlignment="1">
      <alignment horizontal="center" vertical="center"/>
    </xf>
    <xf numFmtId="0" fontId="0" fillId="0" borderId="32" xfId="0" applyBorder="1" applyAlignment="1">
      <alignment horizontal="right"/>
    </xf>
    <xf numFmtId="14" fontId="0" fillId="0" borderId="35" xfId="0" applyNumberFormat="1" applyBorder="1" applyAlignment="1">
      <alignment horizontal="center"/>
    </xf>
    <xf numFmtId="14" fontId="0" fillId="0" borderId="35" xfId="0" applyNumberFormat="1" applyBorder="1" applyAlignment="1">
      <alignment horizontal="right"/>
    </xf>
    <xf numFmtId="14" fontId="0" fillId="0" borderId="34" xfId="0" applyNumberFormat="1" applyBorder="1" applyAlignment="1">
      <alignment horizontal="right"/>
    </xf>
    <xf numFmtId="0" fontId="1" fillId="0" borderId="32" xfId="0" applyFont="1" applyBorder="1" applyAlignment="1">
      <alignment horizontal="center" vertical="center" wrapText="1"/>
    </xf>
    <xf numFmtId="0" fontId="1" fillId="0" borderId="30" xfId="0" applyFont="1" applyBorder="1" applyAlignment="1">
      <alignment horizontal="center" vertical="center" wrapText="1"/>
    </xf>
    <xf numFmtId="0" fontId="1" fillId="0" borderId="25" xfId="0" applyFont="1" applyBorder="1" applyAlignment="1">
      <alignment horizontal="center" vertical="center"/>
    </xf>
    <xf numFmtId="0" fontId="1" fillId="0" borderId="23" xfId="0" applyFont="1" applyBorder="1" applyAlignment="1">
      <alignment horizontal="center" vertical="center"/>
    </xf>
    <xf numFmtId="0" fontId="1" fillId="0" borderId="35" xfId="0" applyFont="1" applyBorder="1" applyAlignment="1">
      <alignment horizontal="center" vertical="center"/>
    </xf>
    <xf numFmtId="0" fontId="1" fillId="0" borderId="2" xfId="0" applyFont="1" applyBorder="1" applyAlignment="1">
      <alignment horizontal="center" vertical="center"/>
    </xf>
    <xf numFmtId="0" fontId="1" fillId="0" borderId="26" xfId="0" applyFont="1" applyBorder="1" applyAlignment="1">
      <alignment horizontal="center" vertical="center" wrapText="1"/>
    </xf>
    <xf numFmtId="0" fontId="1" fillId="0" borderId="27" xfId="0" applyFont="1" applyBorder="1" applyAlignment="1">
      <alignment horizontal="center" vertical="center" wrapText="1"/>
    </xf>
    <xf numFmtId="0" fontId="6" fillId="2" borderId="38" xfId="1" applyFont="1" applyFill="1" applyBorder="1" applyAlignment="1">
      <alignment horizontal="center" vertical="center" wrapText="1"/>
    </xf>
    <xf numFmtId="0" fontId="6" fillId="2" borderId="39" xfId="1" applyFont="1" applyFill="1" applyBorder="1" applyAlignment="1">
      <alignment horizontal="center" vertical="center" wrapText="1"/>
    </xf>
    <xf numFmtId="0" fontId="6" fillId="2" borderId="40" xfId="1" applyFont="1" applyFill="1" applyBorder="1" applyAlignment="1">
      <alignment horizontal="center" vertical="center" wrapText="1"/>
    </xf>
    <xf numFmtId="0" fontId="1" fillId="0" borderId="41" xfId="0" applyFont="1" applyBorder="1" applyAlignment="1">
      <alignment horizontal="center" vertical="center"/>
    </xf>
    <xf numFmtId="0" fontId="1" fillId="0" borderId="42" xfId="0" applyFont="1" applyBorder="1" applyAlignment="1">
      <alignment horizontal="center" vertical="center"/>
    </xf>
    <xf numFmtId="0" fontId="1" fillId="0" borderId="19" xfId="0" applyFont="1" applyBorder="1" applyAlignment="1">
      <alignment horizontal="center" vertical="center"/>
    </xf>
    <xf numFmtId="0" fontId="1" fillId="0" borderId="13" xfId="0" applyFont="1" applyBorder="1" applyAlignment="1">
      <alignment horizontal="center" vertical="center"/>
    </xf>
    <xf numFmtId="0" fontId="1" fillId="0" borderId="19"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37" xfId="0" applyFont="1" applyBorder="1" applyAlignment="1">
      <alignment horizontal="center" vertical="center"/>
    </xf>
    <xf numFmtId="0" fontId="1" fillId="0" borderId="5" xfId="0" applyFont="1"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3" xfId="0" applyFont="1" applyBorder="1" applyAlignment="1">
      <alignment horizontal="center" vertical="center" wrapText="1"/>
    </xf>
    <xf numFmtId="0" fontId="1" fillId="0" borderId="4" xfId="0" applyFont="1" applyBorder="1" applyAlignment="1">
      <alignment horizontal="center" vertical="center" wrapText="1"/>
    </xf>
    <xf numFmtId="0" fontId="0" fillId="0" borderId="0" xfId="0" applyAlignment="1">
      <alignment horizontal="center"/>
    </xf>
    <xf numFmtId="0" fontId="0" fillId="0" borderId="0" xfId="0" applyAlignment="1">
      <alignment horizontal="center" vertical="center" textRotation="90"/>
    </xf>
    <xf numFmtId="0" fontId="0" fillId="0" borderId="10" xfId="0" applyBorder="1" applyAlignment="1">
      <alignment horizontal="center"/>
    </xf>
    <xf numFmtId="0" fontId="0" fillId="0" borderId="15" xfId="0" applyBorder="1" applyAlignment="1">
      <alignment horizontal="center"/>
    </xf>
    <xf numFmtId="0" fontId="0" fillId="0" borderId="14" xfId="0" applyBorder="1" applyAlignment="1">
      <alignment horizontal="center" vertical="center"/>
    </xf>
    <xf numFmtId="0" fontId="0" fillId="0" borderId="16" xfId="0" applyBorder="1" applyAlignment="1">
      <alignment horizontal="center" vertical="center"/>
    </xf>
    <xf numFmtId="0" fontId="0" fillId="0" borderId="13" xfId="0" applyBorder="1" applyAlignment="1">
      <alignment horizontal="center"/>
    </xf>
  </cellXfs>
  <cellStyles count="3">
    <cellStyle name="Bad" xfId="2" builtinId="27"/>
    <cellStyle name="Normal" xfId="0" builtinId="0"/>
    <cellStyle name="Normal 2" xfId="1" xr:uid="{360DBEE6-C5FA-4C0C-9E45-40C04951CCCE}"/>
  </cellStyles>
  <dxfs count="8">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879D-948E-4900-9927-6F755A54AAD6}">
  <dimension ref="A1:U153"/>
  <sheetViews>
    <sheetView tabSelected="1" view="pageBreakPreview" zoomScale="70" zoomScaleNormal="70" zoomScaleSheetLayoutView="70" workbookViewId="0">
      <pane ySplit="2" topLeftCell="A16" activePane="bottomLeft" state="frozen"/>
      <selection activeCell="B1" sqref="B1"/>
      <selection pane="bottomLeft" activeCell="T21" sqref="T21"/>
    </sheetView>
  </sheetViews>
  <sheetFormatPr defaultColWidth="9.140625" defaultRowHeight="15" x14ac:dyDescent="0.25"/>
  <cols>
    <col min="1" max="1" width="17.140625" style="1" bestFit="1" customWidth="1"/>
    <col min="2" max="2" width="12.5703125" style="1" customWidth="1"/>
    <col min="3" max="3" width="8.85546875" style="1" bestFit="1" customWidth="1"/>
    <col min="4" max="4" width="29.7109375" style="1" bestFit="1" customWidth="1"/>
    <col min="5" max="5" width="22.85546875" style="1" bestFit="1" customWidth="1"/>
    <col min="6" max="6" width="30.140625" style="1" bestFit="1" customWidth="1"/>
    <col min="7" max="7" width="47.85546875" bestFit="1" customWidth="1"/>
    <col min="8" max="8" width="60.28515625" bestFit="1" customWidth="1"/>
    <col min="9" max="9" width="12" bestFit="1" customWidth="1"/>
    <col min="10" max="10" width="11" bestFit="1" customWidth="1"/>
    <col min="11" max="11" width="9.140625" bestFit="1" customWidth="1"/>
    <col min="12" max="12" width="12.85546875" bestFit="1" customWidth="1"/>
    <col min="13" max="13" width="36.5703125" bestFit="1" customWidth="1"/>
    <col min="14" max="14" width="12" bestFit="1" customWidth="1"/>
    <col min="15" max="15" width="11" bestFit="1" customWidth="1"/>
    <col min="16" max="16" width="9.140625" bestFit="1" customWidth="1"/>
    <col min="17" max="17" width="16.28515625" bestFit="1" customWidth="1"/>
    <col min="18" max="18" width="10.5703125" customWidth="1"/>
    <col min="19" max="19" width="14" bestFit="1" customWidth="1"/>
    <col min="20" max="21" width="12" bestFit="1" customWidth="1"/>
  </cols>
  <sheetData>
    <row r="1" spans="1:21" ht="15" customHeight="1" x14ac:dyDescent="0.25">
      <c r="A1" s="129" t="s">
        <v>0</v>
      </c>
      <c r="B1" s="144" t="s">
        <v>1</v>
      </c>
      <c r="C1" s="95" t="s">
        <v>196</v>
      </c>
      <c r="D1" s="138" t="s">
        <v>86</v>
      </c>
      <c r="E1" s="136" t="s">
        <v>2</v>
      </c>
      <c r="F1" s="140" t="s">
        <v>347</v>
      </c>
      <c r="G1" s="138" t="s">
        <v>3</v>
      </c>
      <c r="H1" s="146" t="s">
        <v>4</v>
      </c>
      <c r="I1" s="131" t="s">
        <v>5</v>
      </c>
      <c r="J1" s="132"/>
      <c r="K1" s="132"/>
      <c r="L1" s="133"/>
      <c r="M1" s="142" t="s">
        <v>6</v>
      </c>
      <c r="N1" s="131" t="s">
        <v>7</v>
      </c>
      <c r="O1" s="132"/>
      <c r="P1" s="132"/>
      <c r="Q1" s="133"/>
      <c r="R1" s="134" t="s">
        <v>8</v>
      </c>
      <c r="S1" s="123" t="s">
        <v>370</v>
      </c>
      <c r="T1" s="125" t="s">
        <v>346</v>
      </c>
      <c r="U1" s="127" t="s">
        <v>345</v>
      </c>
    </row>
    <row r="2" spans="1:21" ht="15.75" customHeight="1" thickBot="1" x14ac:dyDescent="0.3">
      <c r="A2" s="130"/>
      <c r="B2" s="145"/>
      <c r="C2" s="96"/>
      <c r="D2" s="139"/>
      <c r="E2" s="137"/>
      <c r="F2" s="141"/>
      <c r="G2" s="139"/>
      <c r="H2" s="147"/>
      <c r="I2" s="72" t="s">
        <v>9</v>
      </c>
      <c r="J2" s="72" t="s">
        <v>10</v>
      </c>
      <c r="K2" s="72" t="s">
        <v>11</v>
      </c>
      <c r="L2" s="73" t="s">
        <v>12</v>
      </c>
      <c r="M2" s="143"/>
      <c r="N2" s="72" t="s">
        <v>9</v>
      </c>
      <c r="O2" s="72" t="s">
        <v>10</v>
      </c>
      <c r="P2" s="72" t="s">
        <v>11</v>
      </c>
      <c r="Q2" s="73" t="s">
        <v>58</v>
      </c>
      <c r="R2" s="135"/>
      <c r="S2" s="124"/>
      <c r="T2" s="126"/>
      <c r="U2" s="128"/>
    </row>
    <row r="3" spans="1:21" x14ac:dyDescent="0.25">
      <c r="A3" s="74" t="s">
        <v>275</v>
      </c>
      <c r="B3" s="75" t="s">
        <v>85</v>
      </c>
      <c r="C3" s="74">
        <v>1</v>
      </c>
      <c r="D3" s="76" t="s">
        <v>276</v>
      </c>
      <c r="E3" s="10" t="s">
        <v>109</v>
      </c>
      <c r="F3" s="77" t="s">
        <v>199</v>
      </c>
      <c r="G3" s="80" t="s">
        <v>116</v>
      </c>
      <c r="H3" s="80" t="s">
        <v>279</v>
      </c>
      <c r="I3" s="78">
        <v>2</v>
      </c>
      <c r="J3" s="1">
        <v>2</v>
      </c>
      <c r="K3" s="39">
        <f t="shared" ref="K3:K9" si="0">I3*J3</f>
        <v>4</v>
      </c>
      <c r="L3" s="51">
        <v>44529</v>
      </c>
      <c r="M3" s="81" t="s">
        <v>138</v>
      </c>
      <c r="N3" s="89">
        <v>1</v>
      </c>
      <c r="O3" s="90">
        <f t="shared" ref="O3:O9" si="1">J3</f>
        <v>2</v>
      </c>
      <c r="P3" s="39">
        <f t="shared" ref="P3:P9" si="2">N3*O3</f>
        <v>2</v>
      </c>
      <c r="Q3" s="79" t="s">
        <v>202</v>
      </c>
      <c r="R3" s="25" t="s">
        <v>13</v>
      </c>
      <c r="S3" s="89">
        <v>12</v>
      </c>
      <c r="T3" s="51">
        <v>44529</v>
      </c>
      <c r="U3" s="99">
        <f>T3+(S3*365)</f>
        <v>48909</v>
      </c>
    </row>
    <row r="4" spans="1:21" x14ac:dyDescent="0.25">
      <c r="A4" s="74" t="s">
        <v>275</v>
      </c>
      <c r="B4" s="75" t="s">
        <v>85</v>
      </c>
      <c r="C4" s="74">
        <v>1</v>
      </c>
      <c r="D4" s="76" t="s">
        <v>276</v>
      </c>
      <c r="E4" s="10" t="s">
        <v>109</v>
      </c>
      <c r="F4" s="77" t="s">
        <v>199</v>
      </c>
      <c r="G4" s="80" t="s">
        <v>277</v>
      </c>
      <c r="H4" s="80" t="s">
        <v>279</v>
      </c>
      <c r="I4" s="78">
        <v>2</v>
      </c>
      <c r="J4" s="1">
        <v>1</v>
      </c>
      <c r="K4" s="39">
        <f t="shared" si="0"/>
        <v>2</v>
      </c>
      <c r="L4" s="51">
        <v>44529</v>
      </c>
      <c r="M4" s="81" t="s">
        <v>115</v>
      </c>
      <c r="N4" s="89">
        <v>1</v>
      </c>
      <c r="O4" s="90">
        <f t="shared" si="1"/>
        <v>1</v>
      </c>
      <c r="P4" s="39">
        <f t="shared" si="2"/>
        <v>1</v>
      </c>
      <c r="Q4" s="79" t="s">
        <v>202</v>
      </c>
      <c r="R4" s="25" t="s">
        <v>13</v>
      </c>
      <c r="S4" s="89"/>
      <c r="T4" s="51"/>
      <c r="U4" s="99"/>
    </row>
    <row r="5" spans="1:21" x14ac:dyDescent="0.25">
      <c r="A5" s="74" t="s">
        <v>275</v>
      </c>
      <c r="B5" s="75" t="s">
        <v>85</v>
      </c>
      <c r="C5" s="74">
        <v>1</v>
      </c>
      <c r="D5" s="76" t="s">
        <v>276</v>
      </c>
      <c r="E5" s="10" t="s">
        <v>109</v>
      </c>
      <c r="F5" s="77" t="s">
        <v>199</v>
      </c>
      <c r="G5" s="80" t="s">
        <v>123</v>
      </c>
      <c r="H5" s="80" t="s">
        <v>124</v>
      </c>
      <c r="I5" s="78">
        <v>2</v>
      </c>
      <c r="J5" s="1">
        <v>1</v>
      </c>
      <c r="K5" s="39">
        <f t="shared" si="0"/>
        <v>2</v>
      </c>
      <c r="L5" s="51">
        <v>44529</v>
      </c>
      <c r="M5" s="81" t="s">
        <v>125</v>
      </c>
      <c r="N5" s="89">
        <v>1</v>
      </c>
      <c r="O5" s="90">
        <f t="shared" si="1"/>
        <v>1</v>
      </c>
      <c r="P5" s="39">
        <f t="shared" si="2"/>
        <v>1</v>
      </c>
      <c r="Q5" s="79" t="s">
        <v>202</v>
      </c>
      <c r="R5" s="25" t="s">
        <v>13</v>
      </c>
      <c r="S5" s="89"/>
      <c r="T5" s="51"/>
      <c r="U5" s="99"/>
    </row>
    <row r="6" spans="1:21" x14ac:dyDescent="0.25">
      <c r="A6" s="74" t="s">
        <v>275</v>
      </c>
      <c r="B6" s="75" t="s">
        <v>85</v>
      </c>
      <c r="C6" s="74">
        <v>1</v>
      </c>
      <c r="D6" s="76" t="s">
        <v>276</v>
      </c>
      <c r="E6" s="10" t="s">
        <v>109</v>
      </c>
      <c r="F6" s="77" t="s">
        <v>199</v>
      </c>
      <c r="G6" s="80" t="s">
        <v>280</v>
      </c>
      <c r="H6" s="80" t="s">
        <v>283</v>
      </c>
      <c r="I6" s="78">
        <v>2</v>
      </c>
      <c r="J6" s="1">
        <v>1</v>
      </c>
      <c r="K6" s="39">
        <f t="shared" si="0"/>
        <v>2</v>
      </c>
      <c r="L6" s="51">
        <v>44529</v>
      </c>
      <c r="M6" s="81" t="s">
        <v>286</v>
      </c>
      <c r="N6" s="89">
        <v>1</v>
      </c>
      <c r="O6" s="90">
        <f t="shared" si="1"/>
        <v>1</v>
      </c>
      <c r="P6" s="39">
        <f t="shared" si="2"/>
        <v>1</v>
      </c>
      <c r="Q6" s="79" t="s">
        <v>203</v>
      </c>
      <c r="R6" s="25" t="s">
        <v>13</v>
      </c>
      <c r="S6" s="89"/>
      <c r="T6" s="51"/>
      <c r="U6" s="99"/>
    </row>
    <row r="7" spans="1:21" x14ac:dyDescent="0.25">
      <c r="A7" s="74" t="s">
        <v>275</v>
      </c>
      <c r="B7" s="75" t="s">
        <v>85</v>
      </c>
      <c r="C7" s="74">
        <v>1</v>
      </c>
      <c r="D7" s="76" t="s">
        <v>276</v>
      </c>
      <c r="E7" s="10" t="s">
        <v>109</v>
      </c>
      <c r="F7" s="77" t="s">
        <v>199</v>
      </c>
      <c r="G7" s="80" t="s">
        <v>282</v>
      </c>
      <c r="H7" s="80" t="s">
        <v>284</v>
      </c>
      <c r="I7" s="78">
        <v>2</v>
      </c>
      <c r="J7" s="1">
        <v>2</v>
      </c>
      <c r="K7" s="39">
        <f t="shared" si="0"/>
        <v>4</v>
      </c>
      <c r="L7" s="51">
        <v>44529</v>
      </c>
      <c r="M7" s="81" t="s">
        <v>288</v>
      </c>
      <c r="N7" s="89">
        <v>1</v>
      </c>
      <c r="O7" s="90">
        <f t="shared" si="1"/>
        <v>2</v>
      </c>
      <c r="P7" s="39">
        <f t="shared" si="2"/>
        <v>2</v>
      </c>
      <c r="Q7" s="79" t="s">
        <v>204</v>
      </c>
      <c r="R7" s="25" t="s">
        <v>13</v>
      </c>
      <c r="S7" s="89"/>
      <c r="T7" s="51"/>
      <c r="U7" s="99"/>
    </row>
    <row r="8" spans="1:21" x14ac:dyDescent="0.25">
      <c r="A8" s="74" t="s">
        <v>275</v>
      </c>
      <c r="B8" s="75" t="s">
        <v>85</v>
      </c>
      <c r="C8" s="74">
        <v>1</v>
      </c>
      <c r="D8" s="76" t="s">
        <v>276</v>
      </c>
      <c r="E8" s="10" t="s">
        <v>109</v>
      </c>
      <c r="F8" s="77" t="s">
        <v>199</v>
      </c>
      <c r="G8" s="80" t="s">
        <v>278</v>
      </c>
      <c r="H8" s="80" t="s">
        <v>285</v>
      </c>
      <c r="I8" s="78">
        <v>1</v>
      </c>
      <c r="J8" s="1">
        <v>2</v>
      </c>
      <c r="K8" s="39">
        <f t="shared" si="0"/>
        <v>2</v>
      </c>
      <c r="L8" s="51">
        <v>44529</v>
      </c>
      <c r="M8" s="81" t="s">
        <v>289</v>
      </c>
      <c r="N8" s="89">
        <v>1</v>
      </c>
      <c r="O8" s="90">
        <f t="shared" si="1"/>
        <v>2</v>
      </c>
      <c r="P8" s="39">
        <f t="shared" si="2"/>
        <v>2</v>
      </c>
      <c r="Q8" s="79" t="s">
        <v>206</v>
      </c>
      <c r="R8" s="25" t="s">
        <v>13</v>
      </c>
      <c r="S8" s="89"/>
      <c r="T8" s="51"/>
      <c r="U8" s="99"/>
    </row>
    <row r="9" spans="1:21" x14ac:dyDescent="0.25">
      <c r="A9" s="74" t="s">
        <v>275</v>
      </c>
      <c r="B9" s="75" t="s">
        <v>85</v>
      </c>
      <c r="C9" s="74">
        <v>1</v>
      </c>
      <c r="D9" s="76" t="s">
        <v>276</v>
      </c>
      <c r="E9" s="10" t="s">
        <v>109</v>
      </c>
      <c r="F9" s="77" t="s">
        <v>199</v>
      </c>
      <c r="G9" s="80" t="s">
        <v>281</v>
      </c>
      <c r="H9" s="80" t="s">
        <v>302</v>
      </c>
      <c r="I9" s="78">
        <v>2</v>
      </c>
      <c r="J9" s="1">
        <v>2</v>
      </c>
      <c r="K9" s="39">
        <f t="shared" si="0"/>
        <v>4</v>
      </c>
      <c r="L9" s="51">
        <v>44529</v>
      </c>
      <c r="M9" s="81" t="s">
        <v>287</v>
      </c>
      <c r="N9" s="89">
        <v>1</v>
      </c>
      <c r="O9" s="90">
        <f t="shared" si="1"/>
        <v>2</v>
      </c>
      <c r="P9" s="39">
        <f t="shared" si="2"/>
        <v>2</v>
      </c>
      <c r="Q9" s="79" t="s">
        <v>203</v>
      </c>
      <c r="R9" s="25" t="s">
        <v>13</v>
      </c>
      <c r="S9" s="89"/>
      <c r="T9" s="51"/>
      <c r="U9" s="99"/>
    </row>
    <row r="10" spans="1:21" x14ac:dyDescent="0.25">
      <c r="A10" s="46" t="s">
        <v>290</v>
      </c>
      <c r="B10" s="75" t="s">
        <v>85</v>
      </c>
      <c r="C10" s="74">
        <v>1</v>
      </c>
      <c r="D10" s="76" t="s">
        <v>291</v>
      </c>
      <c r="E10" s="10" t="s">
        <v>109</v>
      </c>
      <c r="F10" s="77" t="s">
        <v>199</v>
      </c>
      <c r="G10" s="80" t="s">
        <v>292</v>
      </c>
      <c r="H10" s="80" t="s">
        <v>126</v>
      </c>
      <c r="I10" s="78">
        <v>2</v>
      </c>
      <c r="J10" s="1">
        <v>2</v>
      </c>
      <c r="K10" s="39">
        <f t="shared" ref="K10:K13" si="3">I10*J10</f>
        <v>4</v>
      </c>
      <c r="L10" s="51">
        <v>44529</v>
      </c>
      <c r="M10" s="81" t="s">
        <v>115</v>
      </c>
      <c r="N10" s="89">
        <v>1</v>
      </c>
      <c r="O10" s="90">
        <f>J10</f>
        <v>2</v>
      </c>
      <c r="P10" s="39">
        <f t="shared" ref="P10:P13" si="4">N10*O10</f>
        <v>2</v>
      </c>
      <c r="Q10" s="79" t="s">
        <v>202</v>
      </c>
      <c r="R10" s="25" t="s">
        <v>13</v>
      </c>
      <c r="S10" s="119">
        <v>12</v>
      </c>
      <c r="T10" s="86">
        <v>44529</v>
      </c>
      <c r="U10" s="100">
        <f t="shared" ref="U10:U52" si="5">T10+(S10*365)</f>
        <v>48909</v>
      </c>
    </row>
    <row r="11" spans="1:21" x14ac:dyDescent="0.25">
      <c r="A11" s="46" t="s">
        <v>290</v>
      </c>
      <c r="B11" s="75" t="s">
        <v>85</v>
      </c>
      <c r="C11" s="74">
        <v>1</v>
      </c>
      <c r="D11" s="76" t="s">
        <v>291</v>
      </c>
      <c r="E11" s="10" t="s">
        <v>109</v>
      </c>
      <c r="F11" s="77" t="s">
        <v>199</v>
      </c>
      <c r="G11" s="80" t="s">
        <v>293</v>
      </c>
      <c r="H11" s="80" t="s">
        <v>285</v>
      </c>
      <c r="I11" s="78">
        <v>1</v>
      </c>
      <c r="J11" s="1">
        <v>2</v>
      </c>
      <c r="K11" s="39">
        <f t="shared" si="3"/>
        <v>2</v>
      </c>
      <c r="L11" s="51">
        <v>44529</v>
      </c>
      <c r="M11" s="81" t="s">
        <v>289</v>
      </c>
      <c r="N11" s="89">
        <v>1</v>
      </c>
      <c r="O11" s="90">
        <f>J11</f>
        <v>2</v>
      </c>
      <c r="P11" s="39">
        <f t="shared" si="4"/>
        <v>2</v>
      </c>
      <c r="Q11" s="79" t="s">
        <v>206</v>
      </c>
      <c r="R11" s="25" t="s">
        <v>13</v>
      </c>
      <c r="S11" s="98"/>
      <c r="T11" s="51"/>
      <c r="U11" s="99"/>
    </row>
    <row r="12" spans="1:21" x14ac:dyDescent="0.25">
      <c r="A12" s="46" t="s">
        <v>290</v>
      </c>
      <c r="B12" s="75" t="s">
        <v>85</v>
      </c>
      <c r="C12" s="74">
        <v>1</v>
      </c>
      <c r="D12" s="76" t="s">
        <v>291</v>
      </c>
      <c r="E12" s="10" t="s">
        <v>109</v>
      </c>
      <c r="F12" s="77" t="s">
        <v>199</v>
      </c>
      <c r="G12" s="80" t="s">
        <v>123</v>
      </c>
      <c r="H12" s="80" t="s">
        <v>126</v>
      </c>
      <c r="I12" s="78">
        <v>2</v>
      </c>
      <c r="J12" s="1">
        <v>1</v>
      </c>
      <c r="K12" s="39">
        <f t="shared" si="3"/>
        <v>2</v>
      </c>
      <c r="L12" s="51">
        <v>44529</v>
      </c>
      <c r="M12" s="81" t="s">
        <v>125</v>
      </c>
      <c r="N12" s="89">
        <v>1</v>
      </c>
      <c r="O12" s="90">
        <f>J12</f>
        <v>1</v>
      </c>
      <c r="P12" s="39">
        <f t="shared" si="4"/>
        <v>1</v>
      </c>
      <c r="Q12" s="79" t="s">
        <v>202</v>
      </c>
      <c r="R12" s="25" t="s">
        <v>13</v>
      </c>
      <c r="S12" s="98"/>
      <c r="T12" s="51"/>
      <c r="U12" s="99"/>
    </row>
    <row r="13" spans="1:21" x14ac:dyDescent="0.25">
      <c r="A13" s="46" t="s">
        <v>290</v>
      </c>
      <c r="B13" s="75" t="s">
        <v>85</v>
      </c>
      <c r="C13" s="74">
        <v>1</v>
      </c>
      <c r="D13" s="76" t="s">
        <v>291</v>
      </c>
      <c r="E13" s="10" t="s">
        <v>109</v>
      </c>
      <c r="F13" s="77" t="s">
        <v>199</v>
      </c>
      <c r="G13" s="80" t="s">
        <v>294</v>
      </c>
      <c r="H13" s="80" t="s">
        <v>175</v>
      </c>
      <c r="I13" s="78">
        <v>2</v>
      </c>
      <c r="J13" s="1">
        <v>1</v>
      </c>
      <c r="K13" s="39">
        <f t="shared" si="3"/>
        <v>2</v>
      </c>
      <c r="L13" s="51">
        <v>44529</v>
      </c>
      <c r="M13" s="81" t="s">
        <v>295</v>
      </c>
      <c r="N13" s="89">
        <v>1</v>
      </c>
      <c r="O13" s="90">
        <f>J13</f>
        <v>1</v>
      </c>
      <c r="P13" s="39">
        <f t="shared" si="4"/>
        <v>1</v>
      </c>
      <c r="Q13" s="79" t="s">
        <v>204</v>
      </c>
      <c r="R13" s="25" t="s">
        <v>13</v>
      </c>
      <c r="S13" s="98"/>
      <c r="T13" s="51"/>
      <c r="U13" s="99"/>
    </row>
    <row r="14" spans="1:21" x14ac:dyDescent="0.25">
      <c r="A14" s="55" t="s">
        <v>64</v>
      </c>
      <c r="B14" s="56" t="s">
        <v>84</v>
      </c>
      <c r="C14" s="45">
        <v>2</v>
      </c>
      <c r="D14" s="61" t="s">
        <v>87</v>
      </c>
      <c r="E14" s="24" t="s">
        <v>107</v>
      </c>
      <c r="F14" s="40" t="s">
        <v>197</v>
      </c>
      <c r="G14" s="23" t="s">
        <v>121</v>
      </c>
      <c r="H14" s="43" t="s">
        <v>122</v>
      </c>
      <c r="I14" s="50">
        <v>3</v>
      </c>
      <c r="J14" s="25">
        <v>4</v>
      </c>
      <c r="K14" s="39">
        <f>I14*J14</f>
        <v>12</v>
      </c>
      <c r="L14" s="51">
        <v>44435</v>
      </c>
      <c r="M14" s="25" t="s">
        <v>223</v>
      </c>
      <c r="N14" s="50">
        <v>1</v>
      </c>
      <c r="O14" s="25">
        <f>J14</f>
        <v>4</v>
      </c>
      <c r="P14" s="39">
        <f>N14*O14</f>
        <v>4</v>
      </c>
      <c r="Q14" s="51" t="s">
        <v>201</v>
      </c>
      <c r="R14" s="67" t="s">
        <v>13</v>
      </c>
      <c r="S14" s="97">
        <v>1</v>
      </c>
      <c r="T14" s="86">
        <v>44435</v>
      </c>
      <c r="U14" s="100">
        <f t="shared" si="5"/>
        <v>44800</v>
      </c>
    </row>
    <row r="15" spans="1:21" x14ac:dyDescent="0.25">
      <c r="A15" s="55" t="s">
        <v>65</v>
      </c>
      <c r="B15" s="56" t="s">
        <v>85</v>
      </c>
      <c r="C15" s="45">
        <v>1</v>
      </c>
      <c r="D15" s="61" t="s">
        <v>88</v>
      </c>
      <c r="E15" s="24" t="s">
        <v>108</v>
      </c>
      <c r="F15" s="40" t="s">
        <v>198</v>
      </c>
      <c r="G15" s="23" t="s">
        <v>123</v>
      </c>
      <c r="H15" s="23" t="s">
        <v>124</v>
      </c>
      <c r="I15" s="50">
        <v>3</v>
      </c>
      <c r="J15" s="25">
        <v>1</v>
      </c>
      <c r="K15" s="39">
        <f>I15*J15</f>
        <v>3</v>
      </c>
      <c r="L15" s="51">
        <v>44435</v>
      </c>
      <c r="M15" s="25" t="s">
        <v>125</v>
      </c>
      <c r="N15" s="50">
        <v>1</v>
      </c>
      <c r="O15" s="25">
        <f t="shared" ref="O15:O126" si="6">J15</f>
        <v>1</v>
      </c>
      <c r="P15" s="39">
        <f t="shared" ref="P15:P126" si="7">N15*O15</f>
        <v>1</v>
      </c>
      <c r="Q15" s="51" t="s">
        <v>202</v>
      </c>
      <c r="R15" s="25" t="s">
        <v>13</v>
      </c>
      <c r="S15" s="97">
        <v>6</v>
      </c>
      <c r="T15" s="86">
        <v>44435</v>
      </c>
      <c r="U15" s="100">
        <f t="shared" si="5"/>
        <v>46625</v>
      </c>
    </row>
    <row r="16" spans="1:21" x14ac:dyDescent="0.25">
      <c r="A16" s="55" t="s">
        <v>65</v>
      </c>
      <c r="B16" s="56" t="s">
        <v>85</v>
      </c>
      <c r="C16" s="45">
        <v>1</v>
      </c>
      <c r="D16" s="61" t="s">
        <v>88</v>
      </c>
      <c r="E16" s="24" t="s">
        <v>108</v>
      </c>
      <c r="F16" s="40" t="s">
        <v>198</v>
      </c>
      <c r="G16" s="23" t="s">
        <v>116</v>
      </c>
      <c r="H16" s="23" t="s">
        <v>126</v>
      </c>
      <c r="I16" s="50">
        <v>3</v>
      </c>
      <c r="J16" s="25">
        <v>2</v>
      </c>
      <c r="K16" s="39">
        <f t="shared" ref="K16:K126" si="8">I16*J16</f>
        <v>6</v>
      </c>
      <c r="L16" s="51">
        <v>44435</v>
      </c>
      <c r="M16" s="25" t="s">
        <v>127</v>
      </c>
      <c r="N16" s="50">
        <v>1</v>
      </c>
      <c r="O16" s="25">
        <f t="shared" si="6"/>
        <v>2</v>
      </c>
      <c r="P16" s="39">
        <f t="shared" si="7"/>
        <v>2</v>
      </c>
      <c r="Q16" s="51" t="s">
        <v>203</v>
      </c>
      <c r="R16" s="25" t="s">
        <v>13</v>
      </c>
      <c r="S16" s="102"/>
      <c r="T16" s="51"/>
      <c r="U16" s="99"/>
    </row>
    <row r="17" spans="1:21" x14ac:dyDescent="0.25">
      <c r="A17" s="55" t="s">
        <v>65</v>
      </c>
      <c r="B17" s="56" t="s">
        <v>85</v>
      </c>
      <c r="C17" s="45">
        <v>1</v>
      </c>
      <c r="D17" s="61" t="s">
        <v>88</v>
      </c>
      <c r="E17" s="24" t="s">
        <v>108</v>
      </c>
      <c r="F17" s="40" t="s">
        <v>198</v>
      </c>
      <c r="G17" s="23" t="s">
        <v>118</v>
      </c>
      <c r="H17" s="23" t="s">
        <v>119</v>
      </c>
      <c r="I17" s="50">
        <v>3</v>
      </c>
      <c r="J17" s="25">
        <v>2</v>
      </c>
      <c r="K17" s="39">
        <f t="shared" si="8"/>
        <v>6</v>
      </c>
      <c r="L17" s="51">
        <v>44435</v>
      </c>
      <c r="M17" s="25" t="s">
        <v>128</v>
      </c>
      <c r="N17" s="50">
        <v>2</v>
      </c>
      <c r="O17" s="25">
        <f t="shared" si="6"/>
        <v>2</v>
      </c>
      <c r="P17" s="39">
        <f t="shared" si="7"/>
        <v>4</v>
      </c>
      <c r="Q17" s="51" t="s">
        <v>204</v>
      </c>
      <c r="R17" s="25" t="s">
        <v>13</v>
      </c>
      <c r="S17" s="102"/>
      <c r="T17" s="51"/>
      <c r="U17" s="99"/>
    </row>
    <row r="18" spans="1:21" x14ac:dyDescent="0.25">
      <c r="A18" s="55" t="s">
        <v>65</v>
      </c>
      <c r="B18" s="56" t="s">
        <v>85</v>
      </c>
      <c r="C18" s="45">
        <v>1</v>
      </c>
      <c r="D18" s="61" t="s">
        <v>88</v>
      </c>
      <c r="E18" s="24" t="s">
        <v>108</v>
      </c>
      <c r="F18" s="40" t="s">
        <v>198</v>
      </c>
      <c r="G18" s="23" t="s">
        <v>129</v>
      </c>
      <c r="H18" s="23" t="s">
        <v>126</v>
      </c>
      <c r="I18" s="50">
        <v>4</v>
      </c>
      <c r="J18" s="25">
        <v>1</v>
      </c>
      <c r="K18" s="39">
        <f t="shared" si="8"/>
        <v>4</v>
      </c>
      <c r="L18" s="51">
        <v>44435</v>
      </c>
      <c r="M18" s="25" t="s">
        <v>130</v>
      </c>
      <c r="N18" s="50">
        <v>2</v>
      </c>
      <c r="O18" s="25">
        <f t="shared" si="6"/>
        <v>1</v>
      </c>
      <c r="P18" s="39">
        <f t="shared" si="7"/>
        <v>2</v>
      </c>
      <c r="Q18" s="51" t="s">
        <v>203</v>
      </c>
      <c r="R18" s="25" t="s">
        <v>13</v>
      </c>
      <c r="S18" s="102"/>
      <c r="T18" s="51"/>
      <c r="U18" s="99"/>
    </row>
    <row r="19" spans="1:21" x14ac:dyDescent="0.25">
      <c r="A19" s="55" t="s">
        <v>65</v>
      </c>
      <c r="B19" s="56" t="s">
        <v>85</v>
      </c>
      <c r="C19" s="45">
        <v>1</v>
      </c>
      <c r="D19" s="61" t="s">
        <v>88</v>
      </c>
      <c r="E19" s="24" t="s">
        <v>108</v>
      </c>
      <c r="F19" s="40" t="s">
        <v>198</v>
      </c>
      <c r="G19" s="23" t="s">
        <v>131</v>
      </c>
      <c r="H19" s="23" t="s">
        <v>132</v>
      </c>
      <c r="I19" s="50">
        <v>2</v>
      </c>
      <c r="J19" s="25">
        <v>3</v>
      </c>
      <c r="K19" s="39">
        <f t="shared" si="8"/>
        <v>6</v>
      </c>
      <c r="L19" s="51">
        <v>44435</v>
      </c>
      <c r="M19" s="25" t="s">
        <v>133</v>
      </c>
      <c r="N19" s="50">
        <v>1</v>
      </c>
      <c r="O19" s="25">
        <f t="shared" si="6"/>
        <v>3</v>
      </c>
      <c r="P19" s="39">
        <f t="shared" si="7"/>
        <v>3</v>
      </c>
      <c r="Q19" s="51" t="s">
        <v>205</v>
      </c>
      <c r="R19" s="25" t="s">
        <v>13</v>
      </c>
      <c r="S19" s="102"/>
      <c r="T19" s="51"/>
      <c r="U19" s="99"/>
    </row>
    <row r="20" spans="1:21" x14ac:dyDescent="0.25">
      <c r="A20" s="55" t="s">
        <v>371</v>
      </c>
      <c r="B20" s="56" t="s">
        <v>85</v>
      </c>
      <c r="C20" s="45">
        <v>1</v>
      </c>
      <c r="D20" s="61" t="s">
        <v>372</v>
      </c>
      <c r="E20" s="24" t="s">
        <v>109</v>
      </c>
      <c r="F20" s="40" t="s">
        <v>199</v>
      </c>
      <c r="G20" s="23" t="s">
        <v>373</v>
      </c>
      <c r="H20" s="23" t="s">
        <v>374</v>
      </c>
      <c r="I20" s="50">
        <v>2</v>
      </c>
      <c r="J20" s="25">
        <v>4</v>
      </c>
      <c r="K20" s="39">
        <f t="shared" si="8"/>
        <v>8</v>
      </c>
      <c r="L20" s="51">
        <v>44956</v>
      </c>
      <c r="M20" s="25" t="s">
        <v>375</v>
      </c>
      <c r="N20" s="50">
        <v>1</v>
      </c>
      <c r="O20" s="25">
        <f t="shared" si="6"/>
        <v>4</v>
      </c>
      <c r="P20" s="39">
        <f t="shared" si="7"/>
        <v>4</v>
      </c>
      <c r="Q20" s="51" t="s">
        <v>202</v>
      </c>
      <c r="R20" s="25" t="s">
        <v>13</v>
      </c>
      <c r="S20" s="102">
        <v>6</v>
      </c>
      <c r="T20" s="51" t="s">
        <v>376</v>
      </c>
      <c r="U20" s="99">
        <v>45321</v>
      </c>
    </row>
    <row r="21" spans="1:21" x14ac:dyDescent="0.25">
      <c r="A21" s="55" t="s">
        <v>371</v>
      </c>
      <c r="B21" s="56" t="s">
        <v>85</v>
      </c>
      <c r="C21" s="45">
        <v>1</v>
      </c>
      <c r="D21" s="61" t="s">
        <v>372</v>
      </c>
      <c r="E21" s="24" t="s">
        <v>109</v>
      </c>
      <c r="F21" s="40" t="s">
        <v>199</v>
      </c>
      <c r="G21" s="23" t="s">
        <v>377</v>
      </c>
      <c r="H21" s="23" t="s">
        <v>378</v>
      </c>
      <c r="I21" s="50">
        <v>3</v>
      </c>
      <c r="J21" s="25">
        <v>4</v>
      </c>
      <c r="K21" s="39">
        <f t="shared" si="8"/>
        <v>12</v>
      </c>
      <c r="L21" s="51">
        <v>44956</v>
      </c>
      <c r="M21" s="25" t="s">
        <v>379</v>
      </c>
      <c r="N21" s="50">
        <v>1</v>
      </c>
      <c r="O21" s="25">
        <f t="shared" si="6"/>
        <v>4</v>
      </c>
      <c r="P21" s="39">
        <f t="shared" si="7"/>
        <v>4</v>
      </c>
      <c r="Q21" s="51" t="s">
        <v>202</v>
      </c>
      <c r="R21" s="25" t="s">
        <v>13</v>
      </c>
      <c r="S21" s="102"/>
      <c r="T21" s="51"/>
      <c r="U21" s="99"/>
    </row>
    <row r="22" spans="1:21" x14ac:dyDescent="0.25">
      <c r="A22" s="55" t="s">
        <v>66</v>
      </c>
      <c r="B22" s="56" t="s">
        <v>85</v>
      </c>
      <c r="C22" s="45">
        <v>5</v>
      </c>
      <c r="D22" s="61" t="s">
        <v>89</v>
      </c>
      <c r="E22" s="24" t="s">
        <v>111</v>
      </c>
      <c r="F22" s="40" t="s">
        <v>199</v>
      </c>
      <c r="G22" s="23" t="s">
        <v>134</v>
      </c>
      <c r="H22" s="23" t="s">
        <v>126</v>
      </c>
      <c r="I22" s="50">
        <v>2</v>
      </c>
      <c r="J22" s="25">
        <v>3</v>
      </c>
      <c r="K22" s="39">
        <f t="shared" si="8"/>
        <v>6</v>
      </c>
      <c r="L22" s="51">
        <v>44435</v>
      </c>
      <c r="M22" s="25" t="s">
        <v>115</v>
      </c>
      <c r="N22" s="50">
        <v>1</v>
      </c>
      <c r="O22" s="25">
        <f t="shared" si="6"/>
        <v>3</v>
      </c>
      <c r="P22" s="39">
        <f t="shared" si="7"/>
        <v>3</v>
      </c>
      <c r="Q22" s="51" t="s">
        <v>203</v>
      </c>
      <c r="R22" s="25" t="s">
        <v>13</v>
      </c>
      <c r="S22" s="97">
        <v>12</v>
      </c>
      <c r="T22" s="86">
        <v>44435</v>
      </c>
      <c r="U22" s="100">
        <f t="shared" si="5"/>
        <v>48815</v>
      </c>
    </row>
    <row r="23" spans="1:21" ht="30" x14ac:dyDescent="0.25">
      <c r="A23" s="55" t="s">
        <v>66</v>
      </c>
      <c r="B23" s="56" t="s">
        <v>85</v>
      </c>
      <c r="C23" s="45">
        <v>5</v>
      </c>
      <c r="D23" s="61" t="s">
        <v>89</v>
      </c>
      <c r="E23" s="24" t="s">
        <v>111</v>
      </c>
      <c r="F23" s="40" t="s">
        <v>199</v>
      </c>
      <c r="G23" s="23" t="s">
        <v>135</v>
      </c>
      <c r="H23" s="43" t="s">
        <v>136</v>
      </c>
      <c r="I23" s="50">
        <v>3</v>
      </c>
      <c r="J23" s="25">
        <v>1</v>
      </c>
      <c r="K23" s="39">
        <f t="shared" si="8"/>
        <v>3</v>
      </c>
      <c r="L23" s="51">
        <v>44435</v>
      </c>
      <c r="M23" s="25" t="s">
        <v>137</v>
      </c>
      <c r="N23" s="50">
        <v>1</v>
      </c>
      <c r="O23" s="25">
        <f t="shared" si="6"/>
        <v>1</v>
      </c>
      <c r="P23" s="39">
        <f t="shared" si="7"/>
        <v>1</v>
      </c>
      <c r="Q23" s="51" t="s">
        <v>203</v>
      </c>
      <c r="R23" s="25" t="s">
        <v>13</v>
      </c>
      <c r="S23" s="102"/>
      <c r="T23" s="51"/>
      <c r="U23" s="99"/>
    </row>
    <row r="24" spans="1:21" x14ac:dyDescent="0.25">
      <c r="A24" s="55" t="s">
        <v>66</v>
      </c>
      <c r="B24" s="56" t="s">
        <v>85</v>
      </c>
      <c r="C24" s="45">
        <v>5</v>
      </c>
      <c r="D24" s="61" t="s">
        <v>89</v>
      </c>
      <c r="E24" s="24" t="s">
        <v>111</v>
      </c>
      <c r="F24" s="40" t="s">
        <v>199</v>
      </c>
      <c r="G24" s="23" t="s">
        <v>116</v>
      </c>
      <c r="H24" s="23" t="s">
        <v>126</v>
      </c>
      <c r="I24" s="50">
        <v>3</v>
      </c>
      <c r="J24" s="25">
        <v>2</v>
      </c>
      <c r="K24" s="39">
        <f t="shared" si="8"/>
        <v>6</v>
      </c>
      <c r="L24" s="51">
        <v>44435</v>
      </c>
      <c r="M24" s="25" t="s">
        <v>138</v>
      </c>
      <c r="N24" s="50">
        <v>1</v>
      </c>
      <c r="O24" s="25">
        <f t="shared" si="6"/>
        <v>2</v>
      </c>
      <c r="P24" s="39">
        <f t="shared" si="7"/>
        <v>2</v>
      </c>
      <c r="Q24" s="51" t="s">
        <v>203</v>
      </c>
      <c r="R24" s="25" t="s">
        <v>13</v>
      </c>
      <c r="S24" s="102"/>
      <c r="T24" s="51"/>
      <c r="U24" s="99"/>
    </row>
    <row r="25" spans="1:21" x14ac:dyDescent="0.25">
      <c r="A25" s="55" t="s">
        <v>67</v>
      </c>
      <c r="B25" s="56" t="s">
        <v>85</v>
      </c>
      <c r="C25" s="45">
        <v>1</v>
      </c>
      <c r="D25" s="61" t="s">
        <v>90</v>
      </c>
      <c r="E25" s="24" t="s">
        <v>108</v>
      </c>
      <c r="F25" s="40" t="s">
        <v>199</v>
      </c>
      <c r="G25" s="23" t="s">
        <v>116</v>
      </c>
      <c r="H25" s="23" t="s">
        <v>139</v>
      </c>
      <c r="I25" s="50">
        <v>3</v>
      </c>
      <c r="J25" s="25">
        <v>3</v>
      </c>
      <c r="K25" s="39">
        <f t="shared" si="8"/>
        <v>9</v>
      </c>
      <c r="L25" s="51">
        <v>44435</v>
      </c>
      <c r="M25" s="25" t="s">
        <v>138</v>
      </c>
      <c r="N25" s="50">
        <v>2</v>
      </c>
      <c r="O25" s="25">
        <f t="shared" si="6"/>
        <v>3</v>
      </c>
      <c r="P25" s="39">
        <f t="shared" si="7"/>
        <v>6</v>
      </c>
      <c r="Q25" s="51" t="s">
        <v>206</v>
      </c>
      <c r="R25" s="25" t="s">
        <v>13</v>
      </c>
      <c r="S25" s="97">
        <v>6</v>
      </c>
      <c r="T25" s="86">
        <v>44435</v>
      </c>
      <c r="U25" s="100">
        <f t="shared" si="5"/>
        <v>46625</v>
      </c>
    </row>
    <row r="26" spans="1:21" x14ac:dyDescent="0.25">
      <c r="A26" s="55" t="s">
        <v>67</v>
      </c>
      <c r="B26" s="56" t="s">
        <v>85</v>
      </c>
      <c r="C26" s="45">
        <v>1</v>
      </c>
      <c r="D26" s="61" t="s">
        <v>90</v>
      </c>
      <c r="E26" s="24" t="s">
        <v>108</v>
      </c>
      <c r="F26" s="40" t="s">
        <v>199</v>
      </c>
      <c r="G26" s="23" t="s">
        <v>140</v>
      </c>
      <c r="H26" s="23" t="s">
        <v>141</v>
      </c>
      <c r="I26" s="50">
        <v>3</v>
      </c>
      <c r="J26" s="25">
        <v>2</v>
      </c>
      <c r="K26" s="39">
        <f t="shared" si="8"/>
        <v>6</v>
      </c>
      <c r="L26" s="51">
        <v>44435</v>
      </c>
      <c r="M26" s="25" t="s">
        <v>115</v>
      </c>
      <c r="N26" s="50">
        <v>1</v>
      </c>
      <c r="O26" s="25">
        <f t="shared" si="6"/>
        <v>2</v>
      </c>
      <c r="P26" s="39">
        <f t="shared" si="7"/>
        <v>2</v>
      </c>
      <c r="Q26" s="51" t="s">
        <v>203</v>
      </c>
      <c r="R26" s="25" t="s">
        <v>13</v>
      </c>
      <c r="S26" s="102"/>
      <c r="T26" s="51"/>
      <c r="U26" s="99"/>
    </row>
    <row r="27" spans="1:21" x14ac:dyDescent="0.25">
      <c r="A27" s="46" t="s">
        <v>296</v>
      </c>
      <c r="B27" s="56" t="s">
        <v>85</v>
      </c>
      <c r="C27" s="45">
        <v>1</v>
      </c>
      <c r="D27" s="38" t="s">
        <v>297</v>
      </c>
      <c r="E27" s="24" t="s">
        <v>109</v>
      </c>
      <c r="F27" s="40" t="s">
        <v>199</v>
      </c>
      <c r="G27" s="23" t="s">
        <v>123</v>
      </c>
      <c r="H27" s="23" t="s">
        <v>124</v>
      </c>
      <c r="I27" s="50">
        <v>2</v>
      </c>
      <c r="J27" s="25">
        <v>1</v>
      </c>
      <c r="K27" s="39">
        <f t="shared" si="8"/>
        <v>2</v>
      </c>
      <c r="L27" s="51">
        <v>44529</v>
      </c>
      <c r="M27" s="25" t="s">
        <v>125</v>
      </c>
      <c r="N27" s="50">
        <v>1</v>
      </c>
      <c r="O27" s="25">
        <f t="shared" ref="O27:O34" si="9">J27</f>
        <v>1</v>
      </c>
      <c r="P27" s="39">
        <f t="shared" si="7"/>
        <v>1</v>
      </c>
      <c r="Q27" s="52" t="s">
        <v>203</v>
      </c>
      <c r="R27" s="25" t="s">
        <v>13</v>
      </c>
      <c r="S27" s="97">
        <v>12</v>
      </c>
      <c r="T27" s="86">
        <v>44529</v>
      </c>
      <c r="U27" s="100">
        <f t="shared" si="5"/>
        <v>48909</v>
      </c>
    </row>
    <row r="28" spans="1:21" x14ac:dyDescent="0.25">
      <c r="A28" s="46" t="s">
        <v>296</v>
      </c>
      <c r="B28" s="56" t="s">
        <v>85</v>
      </c>
      <c r="C28" s="45">
        <v>1</v>
      </c>
      <c r="D28" s="38" t="s">
        <v>297</v>
      </c>
      <c r="E28" s="24" t="s">
        <v>109</v>
      </c>
      <c r="F28" s="40" t="s">
        <v>199</v>
      </c>
      <c r="G28" s="23" t="s">
        <v>298</v>
      </c>
      <c r="H28" s="23" t="s">
        <v>301</v>
      </c>
      <c r="I28" s="50">
        <v>2</v>
      </c>
      <c r="J28" s="25">
        <v>2</v>
      </c>
      <c r="K28" s="39">
        <f t="shared" si="8"/>
        <v>4</v>
      </c>
      <c r="L28" s="51">
        <v>44529</v>
      </c>
      <c r="M28" s="25" t="s">
        <v>115</v>
      </c>
      <c r="N28" s="50">
        <v>1</v>
      </c>
      <c r="O28" s="25">
        <f t="shared" si="9"/>
        <v>2</v>
      </c>
      <c r="P28" s="39">
        <f t="shared" si="7"/>
        <v>2</v>
      </c>
      <c r="Q28" s="52" t="s">
        <v>206</v>
      </c>
      <c r="R28" s="25" t="s">
        <v>13</v>
      </c>
      <c r="S28" s="102"/>
      <c r="T28" s="51"/>
      <c r="U28" s="99"/>
    </row>
    <row r="29" spans="1:21" x14ac:dyDescent="0.25">
      <c r="A29" s="46" t="s">
        <v>296</v>
      </c>
      <c r="B29" s="56" t="s">
        <v>85</v>
      </c>
      <c r="C29" s="45">
        <v>1</v>
      </c>
      <c r="D29" s="38" t="s">
        <v>297</v>
      </c>
      <c r="E29" s="24" t="s">
        <v>109</v>
      </c>
      <c r="F29" s="40" t="s">
        <v>199</v>
      </c>
      <c r="G29" s="23" t="s">
        <v>116</v>
      </c>
      <c r="H29" s="23" t="s">
        <v>126</v>
      </c>
      <c r="I29" s="50">
        <v>3</v>
      </c>
      <c r="J29" s="25">
        <v>2</v>
      </c>
      <c r="K29" s="39">
        <f t="shared" si="8"/>
        <v>6</v>
      </c>
      <c r="L29" s="51">
        <v>44529</v>
      </c>
      <c r="M29" s="25" t="s">
        <v>138</v>
      </c>
      <c r="N29" s="50">
        <v>1</v>
      </c>
      <c r="O29" s="25">
        <f t="shared" si="9"/>
        <v>2</v>
      </c>
      <c r="P29" s="39">
        <f t="shared" si="7"/>
        <v>2</v>
      </c>
      <c r="Q29" s="52" t="s">
        <v>203</v>
      </c>
      <c r="R29" s="25" t="s">
        <v>13</v>
      </c>
      <c r="S29" s="102"/>
      <c r="T29" s="51"/>
      <c r="U29" s="99"/>
    </row>
    <row r="30" spans="1:21" x14ac:dyDescent="0.25">
      <c r="A30" s="46" t="s">
        <v>296</v>
      </c>
      <c r="B30" s="56" t="s">
        <v>85</v>
      </c>
      <c r="C30" s="45">
        <v>1</v>
      </c>
      <c r="D30" s="38" t="s">
        <v>297</v>
      </c>
      <c r="E30" s="24" t="s">
        <v>109</v>
      </c>
      <c r="F30" s="40" t="s">
        <v>199</v>
      </c>
      <c r="G30" s="23" t="s">
        <v>299</v>
      </c>
      <c r="H30" s="23" t="s">
        <v>302</v>
      </c>
      <c r="I30" s="50">
        <v>3</v>
      </c>
      <c r="J30" s="25">
        <v>2</v>
      </c>
      <c r="K30" s="39">
        <f t="shared" si="8"/>
        <v>6</v>
      </c>
      <c r="L30" s="51">
        <v>44529</v>
      </c>
      <c r="M30" s="25" t="s">
        <v>304</v>
      </c>
      <c r="N30" s="50">
        <v>1</v>
      </c>
      <c r="O30" s="25">
        <f t="shared" si="9"/>
        <v>2</v>
      </c>
      <c r="P30" s="39">
        <f t="shared" si="7"/>
        <v>2</v>
      </c>
      <c r="Q30" s="52" t="s">
        <v>205</v>
      </c>
      <c r="R30" s="25" t="s">
        <v>13</v>
      </c>
      <c r="S30" s="102"/>
      <c r="T30" s="51"/>
      <c r="U30" s="99"/>
    </row>
    <row r="31" spans="1:21" x14ac:dyDescent="0.25">
      <c r="A31" s="46" t="s">
        <v>296</v>
      </c>
      <c r="B31" s="56" t="s">
        <v>85</v>
      </c>
      <c r="C31" s="45">
        <v>1</v>
      </c>
      <c r="D31" s="38" t="s">
        <v>297</v>
      </c>
      <c r="E31" s="24" t="s">
        <v>109</v>
      </c>
      <c r="F31" s="40" t="s">
        <v>199</v>
      </c>
      <c r="G31" s="23" t="s">
        <v>300</v>
      </c>
      <c r="H31" s="23" t="s">
        <v>303</v>
      </c>
      <c r="I31" s="50">
        <v>2</v>
      </c>
      <c r="J31" s="25">
        <v>3</v>
      </c>
      <c r="K31" s="39">
        <f t="shared" si="8"/>
        <v>6</v>
      </c>
      <c r="L31" s="51">
        <v>44529</v>
      </c>
      <c r="M31" s="25" t="s">
        <v>305</v>
      </c>
      <c r="N31" s="50">
        <v>1</v>
      </c>
      <c r="O31" s="25">
        <f t="shared" si="9"/>
        <v>3</v>
      </c>
      <c r="P31" s="39">
        <f t="shared" si="7"/>
        <v>3</v>
      </c>
      <c r="Q31" s="52" t="s">
        <v>206</v>
      </c>
      <c r="R31" s="25" t="s">
        <v>13</v>
      </c>
      <c r="S31" s="102"/>
      <c r="T31" s="51"/>
      <c r="U31" s="99"/>
    </row>
    <row r="32" spans="1:21" x14ac:dyDescent="0.25">
      <c r="A32" s="47" t="s">
        <v>306</v>
      </c>
      <c r="B32" s="83" t="s">
        <v>85</v>
      </c>
      <c r="C32" s="84">
        <v>1</v>
      </c>
      <c r="D32" s="88" t="s">
        <v>307</v>
      </c>
      <c r="E32" s="64" t="s">
        <v>109</v>
      </c>
      <c r="F32" s="65" t="s">
        <v>199</v>
      </c>
      <c r="G32" s="66" t="s">
        <v>116</v>
      </c>
      <c r="H32" s="66" t="s">
        <v>126</v>
      </c>
      <c r="I32" s="67">
        <v>2</v>
      </c>
      <c r="J32" s="68">
        <v>2</v>
      </c>
      <c r="K32" s="44">
        <f t="shared" si="8"/>
        <v>4</v>
      </c>
      <c r="L32" s="51">
        <v>44529</v>
      </c>
      <c r="M32" s="68" t="s">
        <v>138</v>
      </c>
      <c r="N32" s="67">
        <v>1</v>
      </c>
      <c r="O32" s="68">
        <f t="shared" si="9"/>
        <v>2</v>
      </c>
      <c r="P32" s="44">
        <f t="shared" si="7"/>
        <v>2</v>
      </c>
      <c r="Q32" s="87" t="s">
        <v>206</v>
      </c>
      <c r="R32" s="68" t="s">
        <v>13</v>
      </c>
      <c r="S32" s="97">
        <v>12</v>
      </c>
      <c r="T32" s="86">
        <v>44529</v>
      </c>
      <c r="U32" s="100">
        <f t="shared" si="5"/>
        <v>48909</v>
      </c>
    </row>
    <row r="33" spans="1:21" x14ac:dyDescent="0.25">
      <c r="A33" s="47" t="s">
        <v>306</v>
      </c>
      <c r="B33" s="83" t="s">
        <v>85</v>
      </c>
      <c r="C33" s="84">
        <v>1</v>
      </c>
      <c r="D33" s="88" t="s">
        <v>307</v>
      </c>
      <c r="E33" s="64" t="s">
        <v>109</v>
      </c>
      <c r="F33" s="65" t="s">
        <v>199</v>
      </c>
      <c r="G33" s="23" t="s">
        <v>123</v>
      </c>
      <c r="H33" s="23" t="s">
        <v>124</v>
      </c>
      <c r="I33" s="50">
        <v>2</v>
      </c>
      <c r="J33" s="25">
        <v>1</v>
      </c>
      <c r="K33" s="39">
        <f t="shared" si="8"/>
        <v>2</v>
      </c>
      <c r="L33" s="51">
        <v>44529</v>
      </c>
      <c r="M33" s="25" t="s">
        <v>125</v>
      </c>
      <c r="N33" s="50">
        <v>1</v>
      </c>
      <c r="O33" s="25">
        <f t="shared" si="9"/>
        <v>1</v>
      </c>
      <c r="P33" s="39">
        <f t="shared" si="7"/>
        <v>1</v>
      </c>
      <c r="Q33" s="52" t="s">
        <v>203</v>
      </c>
      <c r="R33" s="25" t="s">
        <v>13</v>
      </c>
      <c r="S33" s="102"/>
      <c r="T33" s="51"/>
      <c r="U33" s="99"/>
    </row>
    <row r="34" spans="1:21" x14ac:dyDescent="0.25">
      <c r="A34" s="47" t="s">
        <v>306</v>
      </c>
      <c r="B34" s="83" t="s">
        <v>85</v>
      </c>
      <c r="C34" s="84">
        <v>1</v>
      </c>
      <c r="D34" s="88" t="s">
        <v>307</v>
      </c>
      <c r="E34" s="64" t="s">
        <v>109</v>
      </c>
      <c r="F34" s="65" t="s">
        <v>199</v>
      </c>
      <c r="G34" s="23" t="s">
        <v>292</v>
      </c>
      <c r="H34" s="23" t="s">
        <v>126</v>
      </c>
      <c r="I34" s="50">
        <v>2</v>
      </c>
      <c r="J34" s="25">
        <v>2</v>
      </c>
      <c r="K34" s="39">
        <f t="shared" si="8"/>
        <v>4</v>
      </c>
      <c r="L34" s="51">
        <v>44529</v>
      </c>
      <c r="M34" s="25" t="s">
        <v>115</v>
      </c>
      <c r="N34" s="50">
        <v>1</v>
      </c>
      <c r="O34" s="25">
        <f t="shared" si="9"/>
        <v>2</v>
      </c>
      <c r="P34" s="39">
        <f t="shared" si="7"/>
        <v>2</v>
      </c>
      <c r="Q34" s="52" t="s">
        <v>203</v>
      </c>
      <c r="R34" s="25" t="s">
        <v>13</v>
      </c>
      <c r="S34" s="102"/>
      <c r="T34" s="51"/>
      <c r="U34" s="99"/>
    </row>
    <row r="35" spans="1:21" x14ac:dyDescent="0.25">
      <c r="A35" s="82" t="s">
        <v>68</v>
      </c>
      <c r="B35" s="83" t="s">
        <v>85</v>
      </c>
      <c r="C35" s="84">
        <v>1</v>
      </c>
      <c r="D35" s="85" t="s">
        <v>91</v>
      </c>
      <c r="E35" s="64" t="s">
        <v>108</v>
      </c>
      <c r="F35" s="65" t="s">
        <v>199</v>
      </c>
      <c r="G35" s="66" t="s">
        <v>116</v>
      </c>
      <c r="H35" s="66" t="s">
        <v>126</v>
      </c>
      <c r="I35" s="67">
        <v>3</v>
      </c>
      <c r="J35" s="68">
        <v>2</v>
      </c>
      <c r="K35" s="44">
        <f t="shared" si="8"/>
        <v>6</v>
      </c>
      <c r="L35" s="86">
        <v>44435</v>
      </c>
      <c r="M35" s="68" t="s">
        <v>138</v>
      </c>
      <c r="N35" s="67">
        <v>1</v>
      </c>
      <c r="O35" s="68">
        <f t="shared" si="6"/>
        <v>2</v>
      </c>
      <c r="P35" s="44">
        <f t="shared" si="7"/>
        <v>2</v>
      </c>
      <c r="Q35" s="87" t="s">
        <v>203</v>
      </c>
      <c r="R35" s="68" t="s">
        <v>13</v>
      </c>
      <c r="S35" s="97">
        <v>12</v>
      </c>
      <c r="T35" s="86">
        <v>44435</v>
      </c>
      <c r="U35" s="100">
        <f t="shared" si="5"/>
        <v>48815</v>
      </c>
    </row>
    <row r="36" spans="1:21" x14ac:dyDescent="0.25">
      <c r="A36" s="82" t="s">
        <v>68</v>
      </c>
      <c r="B36" s="83" t="s">
        <v>85</v>
      </c>
      <c r="C36" s="84">
        <v>1</v>
      </c>
      <c r="D36" s="85" t="s">
        <v>91</v>
      </c>
      <c r="E36" s="64" t="s">
        <v>108</v>
      </c>
      <c r="F36" s="65" t="s">
        <v>199</v>
      </c>
      <c r="G36" s="23" t="s">
        <v>140</v>
      </c>
      <c r="H36" s="23" t="s">
        <v>126</v>
      </c>
      <c r="I36" s="50">
        <v>2</v>
      </c>
      <c r="J36" s="25">
        <v>2</v>
      </c>
      <c r="K36" s="39">
        <f t="shared" si="8"/>
        <v>4</v>
      </c>
      <c r="L36" s="51">
        <v>44435</v>
      </c>
      <c r="M36" s="25" t="s">
        <v>115</v>
      </c>
      <c r="N36" s="50">
        <v>1</v>
      </c>
      <c r="O36" s="25">
        <f t="shared" si="6"/>
        <v>2</v>
      </c>
      <c r="P36" s="39">
        <f t="shared" si="7"/>
        <v>2</v>
      </c>
      <c r="Q36" s="52" t="s">
        <v>203</v>
      </c>
      <c r="R36" s="25" t="s">
        <v>13</v>
      </c>
      <c r="S36" s="102"/>
      <c r="T36" s="51"/>
      <c r="U36" s="99"/>
    </row>
    <row r="37" spans="1:21" x14ac:dyDescent="0.25">
      <c r="A37" s="55" t="s">
        <v>69</v>
      </c>
      <c r="B37" s="56" t="s">
        <v>85</v>
      </c>
      <c r="C37" s="45">
        <v>1</v>
      </c>
      <c r="D37" s="61" t="s">
        <v>92</v>
      </c>
      <c r="E37" s="24" t="s">
        <v>110</v>
      </c>
      <c r="F37" s="40" t="s">
        <v>199</v>
      </c>
      <c r="G37" s="23" t="s">
        <v>142</v>
      </c>
      <c r="H37" s="23" t="s">
        <v>126</v>
      </c>
      <c r="I37" s="50">
        <v>3</v>
      </c>
      <c r="J37" s="25">
        <v>2</v>
      </c>
      <c r="K37" s="39">
        <f t="shared" si="8"/>
        <v>6</v>
      </c>
      <c r="L37" s="51">
        <v>44435</v>
      </c>
      <c r="M37" s="25" t="s">
        <v>115</v>
      </c>
      <c r="N37" s="50">
        <v>1</v>
      </c>
      <c r="O37" s="25">
        <f t="shared" si="6"/>
        <v>2</v>
      </c>
      <c r="P37" s="39">
        <f t="shared" si="7"/>
        <v>2</v>
      </c>
      <c r="Q37" s="52" t="s">
        <v>203</v>
      </c>
      <c r="R37" s="25" t="s">
        <v>13</v>
      </c>
      <c r="S37" s="97">
        <v>12</v>
      </c>
      <c r="T37" s="86">
        <v>44435</v>
      </c>
      <c r="U37" s="100">
        <f t="shared" si="5"/>
        <v>48815</v>
      </c>
    </row>
    <row r="38" spans="1:21" x14ac:dyDescent="0.25">
      <c r="A38" s="55" t="s">
        <v>69</v>
      </c>
      <c r="B38" s="56" t="s">
        <v>85</v>
      </c>
      <c r="C38" s="45">
        <v>1</v>
      </c>
      <c r="D38" s="61" t="s">
        <v>92</v>
      </c>
      <c r="E38" s="24" t="s">
        <v>110</v>
      </c>
      <c r="F38" s="40" t="s">
        <v>199</v>
      </c>
      <c r="G38" s="23" t="s">
        <v>116</v>
      </c>
      <c r="H38" s="23" t="s">
        <v>126</v>
      </c>
      <c r="I38" s="50">
        <v>3</v>
      </c>
      <c r="J38" s="25">
        <v>2</v>
      </c>
      <c r="K38" s="39">
        <f t="shared" si="8"/>
        <v>6</v>
      </c>
      <c r="L38" s="51">
        <v>44435</v>
      </c>
      <c r="M38" s="25" t="s">
        <v>138</v>
      </c>
      <c r="N38" s="50">
        <v>1</v>
      </c>
      <c r="O38" s="25">
        <f t="shared" si="6"/>
        <v>2</v>
      </c>
      <c r="P38" s="39">
        <f t="shared" si="7"/>
        <v>2</v>
      </c>
      <c r="Q38" s="52" t="s">
        <v>203</v>
      </c>
      <c r="R38" s="25" t="s">
        <v>13</v>
      </c>
      <c r="S38" s="102"/>
      <c r="T38" s="51"/>
      <c r="U38" s="99"/>
    </row>
    <row r="39" spans="1:21" x14ac:dyDescent="0.25">
      <c r="A39" s="55" t="s">
        <v>69</v>
      </c>
      <c r="B39" s="56" t="s">
        <v>85</v>
      </c>
      <c r="C39" s="45">
        <v>1</v>
      </c>
      <c r="D39" s="61" t="s">
        <v>92</v>
      </c>
      <c r="E39" s="24" t="s">
        <v>110</v>
      </c>
      <c r="F39" s="40" t="s">
        <v>199</v>
      </c>
      <c r="G39" s="23" t="s">
        <v>118</v>
      </c>
      <c r="H39" s="23" t="s">
        <v>143</v>
      </c>
      <c r="I39" s="50">
        <v>2</v>
      </c>
      <c r="J39" s="25">
        <v>3</v>
      </c>
      <c r="K39" s="39">
        <f t="shared" si="8"/>
        <v>6</v>
      </c>
      <c r="L39" s="51">
        <v>44435</v>
      </c>
      <c r="M39" s="25" t="s">
        <v>128</v>
      </c>
      <c r="N39" s="50">
        <v>1</v>
      </c>
      <c r="O39" s="25">
        <f t="shared" si="6"/>
        <v>3</v>
      </c>
      <c r="P39" s="39">
        <f t="shared" si="7"/>
        <v>3</v>
      </c>
      <c r="Q39" s="52" t="s">
        <v>204</v>
      </c>
      <c r="R39" s="25" t="s">
        <v>13</v>
      </c>
      <c r="S39" s="102"/>
      <c r="T39" s="51"/>
      <c r="U39" s="99"/>
    </row>
    <row r="40" spans="1:21" x14ac:dyDescent="0.25">
      <c r="A40" s="46" t="s">
        <v>308</v>
      </c>
      <c r="B40" s="56" t="s">
        <v>85</v>
      </c>
      <c r="C40" s="45">
        <v>1</v>
      </c>
      <c r="D40" s="38" t="s">
        <v>309</v>
      </c>
      <c r="E40" s="24" t="s">
        <v>109</v>
      </c>
      <c r="F40" s="40" t="s">
        <v>199</v>
      </c>
      <c r="G40" s="23" t="s">
        <v>116</v>
      </c>
      <c r="H40" s="23" t="s">
        <v>126</v>
      </c>
      <c r="I40" s="50">
        <v>2</v>
      </c>
      <c r="J40" s="25">
        <v>2</v>
      </c>
      <c r="K40" s="39">
        <f t="shared" ref="K40:K45" si="10">I40*J40</f>
        <v>4</v>
      </c>
      <c r="L40" s="51">
        <v>44529</v>
      </c>
      <c r="M40" s="25" t="s">
        <v>138</v>
      </c>
      <c r="N40" s="50">
        <v>1</v>
      </c>
      <c r="O40" s="25">
        <f t="shared" ref="O40:O57" si="11">J40</f>
        <v>2</v>
      </c>
      <c r="P40" s="39">
        <f t="shared" ref="P40:P45" si="12">N40*O40</f>
        <v>2</v>
      </c>
      <c r="Q40" s="52" t="s">
        <v>203</v>
      </c>
      <c r="R40" s="25" t="s">
        <v>13</v>
      </c>
      <c r="S40" s="97">
        <v>12</v>
      </c>
      <c r="T40" s="86">
        <v>44529</v>
      </c>
      <c r="U40" s="100">
        <f t="shared" si="5"/>
        <v>48909</v>
      </c>
    </row>
    <row r="41" spans="1:21" x14ac:dyDescent="0.25">
      <c r="A41" s="46" t="s">
        <v>308</v>
      </c>
      <c r="B41" s="56" t="s">
        <v>85</v>
      </c>
      <c r="C41" s="45">
        <v>1</v>
      </c>
      <c r="D41" s="38" t="s">
        <v>309</v>
      </c>
      <c r="E41" s="24" t="s">
        <v>109</v>
      </c>
      <c r="F41" s="40" t="s">
        <v>199</v>
      </c>
      <c r="G41" s="23" t="s">
        <v>292</v>
      </c>
      <c r="H41" s="23" t="s">
        <v>126</v>
      </c>
      <c r="I41" s="50">
        <v>2</v>
      </c>
      <c r="J41" s="25">
        <v>2</v>
      </c>
      <c r="K41" s="39">
        <f t="shared" si="10"/>
        <v>4</v>
      </c>
      <c r="L41" s="51">
        <v>44529</v>
      </c>
      <c r="M41" s="25" t="s">
        <v>115</v>
      </c>
      <c r="N41" s="50">
        <v>1</v>
      </c>
      <c r="O41" s="25">
        <f t="shared" si="11"/>
        <v>2</v>
      </c>
      <c r="P41" s="39">
        <f t="shared" si="12"/>
        <v>2</v>
      </c>
      <c r="Q41" s="52" t="s">
        <v>203</v>
      </c>
      <c r="R41" s="25" t="s">
        <v>13</v>
      </c>
      <c r="S41" s="102"/>
      <c r="T41" s="51"/>
      <c r="U41" s="99"/>
    </row>
    <row r="42" spans="1:21" x14ac:dyDescent="0.25">
      <c r="A42" s="46" t="s">
        <v>308</v>
      </c>
      <c r="B42" s="56" t="s">
        <v>85</v>
      </c>
      <c r="C42" s="45">
        <v>1</v>
      </c>
      <c r="D42" s="38" t="s">
        <v>309</v>
      </c>
      <c r="E42" s="24" t="s">
        <v>109</v>
      </c>
      <c r="F42" s="40" t="s">
        <v>199</v>
      </c>
      <c r="G42" s="23" t="s">
        <v>310</v>
      </c>
      <c r="H42" s="23" t="s">
        <v>285</v>
      </c>
      <c r="I42" s="50">
        <v>2</v>
      </c>
      <c r="J42" s="25">
        <v>1</v>
      </c>
      <c r="K42" s="39">
        <f t="shared" si="10"/>
        <v>2</v>
      </c>
      <c r="L42" s="51">
        <v>44529</v>
      </c>
      <c r="M42" s="25" t="s">
        <v>289</v>
      </c>
      <c r="N42" s="50">
        <v>1</v>
      </c>
      <c r="O42" s="25">
        <f t="shared" si="11"/>
        <v>1</v>
      </c>
      <c r="P42" s="39">
        <f t="shared" si="12"/>
        <v>1</v>
      </c>
      <c r="Q42" s="52" t="s">
        <v>206</v>
      </c>
      <c r="R42" s="25" t="s">
        <v>13</v>
      </c>
      <c r="S42" s="102"/>
      <c r="T42" s="51"/>
      <c r="U42" s="99"/>
    </row>
    <row r="43" spans="1:21" x14ac:dyDescent="0.25">
      <c r="A43" s="47" t="s">
        <v>311</v>
      </c>
      <c r="B43" s="83" t="s">
        <v>85</v>
      </c>
      <c r="C43" s="84">
        <v>1</v>
      </c>
      <c r="D43" s="88" t="s">
        <v>312</v>
      </c>
      <c r="E43" s="64" t="s">
        <v>109</v>
      </c>
      <c r="F43" s="65" t="s">
        <v>199</v>
      </c>
      <c r="G43" s="66" t="s">
        <v>277</v>
      </c>
      <c r="H43" s="66" t="s">
        <v>126</v>
      </c>
      <c r="I43" s="67">
        <v>2</v>
      </c>
      <c r="J43" s="68">
        <v>1</v>
      </c>
      <c r="K43" s="44">
        <f t="shared" si="10"/>
        <v>2</v>
      </c>
      <c r="L43" s="51">
        <v>44529</v>
      </c>
      <c r="M43" s="68" t="s">
        <v>115</v>
      </c>
      <c r="N43" s="67">
        <v>1</v>
      </c>
      <c r="O43" s="68">
        <f t="shared" si="11"/>
        <v>1</v>
      </c>
      <c r="P43" s="44">
        <f t="shared" si="12"/>
        <v>1</v>
      </c>
      <c r="Q43" s="87" t="s">
        <v>203</v>
      </c>
      <c r="R43" s="68" t="s">
        <v>13</v>
      </c>
      <c r="S43" s="97">
        <v>12</v>
      </c>
      <c r="T43" s="86">
        <v>44529</v>
      </c>
      <c r="U43" s="100">
        <f t="shared" si="5"/>
        <v>48909</v>
      </c>
    </row>
    <row r="44" spans="1:21" x14ac:dyDescent="0.25">
      <c r="A44" s="46" t="s">
        <v>311</v>
      </c>
      <c r="B44" s="56" t="s">
        <v>85</v>
      </c>
      <c r="C44" s="45">
        <v>1</v>
      </c>
      <c r="D44" s="38" t="s">
        <v>312</v>
      </c>
      <c r="E44" s="24" t="s">
        <v>109</v>
      </c>
      <c r="F44" s="40" t="s">
        <v>199</v>
      </c>
      <c r="G44" s="23" t="s">
        <v>116</v>
      </c>
      <c r="H44" s="23" t="s">
        <v>126</v>
      </c>
      <c r="I44" s="50">
        <v>3</v>
      </c>
      <c r="J44" s="25">
        <v>2</v>
      </c>
      <c r="K44" s="39">
        <f t="shared" si="10"/>
        <v>6</v>
      </c>
      <c r="L44" s="51">
        <v>44529</v>
      </c>
      <c r="M44" s="25" t="s">
        <v>138</v>
      </c>
      <c r="N44" s="50">
        <v>1</v>
      </c>
      <c r="O44" s="25">
        <f t="shared" si="11"/>
        <v>2</v>
      </c>
      <c r="P44" s="39">
        <f t="shared" si="12"/>
        <v>2</v>
      </c>
      <c r="Q44" s="52" t="s">
        <v>203</v>
      </c>
      <c r="R44" s="25" t="s">
        <v>13</v>
      </c>
      <c r="S44" s="102"/>
      <c r="T44" s="51"/>
      <c r="U44" s="99"/>
    </row>
    <row r="45" spans="1:21" x14ac:dyDescent="0.25">
      <c r="A45" s="46" t="s">
        <v>311</v>
      </c>
      <c r="B45" s="56" t="s">
        <v>85</v>
      </c>
      <c r="C45" s="45">
        <v>1</v>
      </c>
      <c r="D45" s="38" t="s">
        <v>312</v>
      </c>
      <c r="E45" s="24" t="s">
        <v>109</v>
      </c>
      <c r="F45" s="40" t="s">
        <v>199</v>
      </c>
      <c r="G45" s="23" t="s">
        <v>123</v>
      </c>
      <c r="H45" s="23" t="s">
        <v>124</v>
      </c>
      <c r="I45" s="50">
        <v>2</v>
      </c>
      <c r="J45" s="25">
        <v>1</v>
      </c>
      <c r="K45" s="39">
        <f t="shared" si="10"/>
        <v>2</v>
      </c>
      <c r="L45" s="51">
        <v>44529</v>
      </c>
      <c r="M45" s="25" t="s">
        <v>125</v>
      </c>
      <c r="N45" s="50">
        <v>1</v>
      </c>
      <c r="O45" s="25">
        <f t="shared" si="11"/>
        <v>1</v>
      </c>
      <c r="P45" s="39">
        <f t="shared" si="12"/>
        <v>1</v>
      </c>
      <c r="Q45" s="52" t="s">
        <v>203</v>
      </c>
      <c r="R45" s="25" t="s">
        <v>13</v>
      </c>
      <c r="S45" s="102"/>
      <c r="T45" s="51"/>
      <c r="U45" s="99"/>
    </row>
    <row r="46" spans="1:21" x14ac:dyDescent="0.25">
      <c r="A46" s="82" t="s">
        <v>70</v>
      </c>
      <c r="B46" s="83" t="s">
        <v>85</v>
      </c>
      <c r="C46" s="84">
        <v>1</v>
      </c>
      <c r="D46" s="85" t="s">
        <v>93</v>
      </c>
      <c r="E46" s="64" t="s">
        <v>110</v>
      </c>
      <c r="F46" s="65" t="s">
        <v>199</v>
      </c>
      <c r="G46" s="66" t="s">
        <v>116</v>
      </c>
      <c r="H46" s="66" t="s">
        <v>114</v>
      </c>
      <c r="I46" s="67">
        <v>3</v>
      </c>
      <c r="J46" s="68">
        <v>3</v>
      </c>
      <c r="K46" s="44">
        <f>I46*J46</f>
        <v>9</v>
      </c>
      <c r="L46" s="86">
        <v>44435</v>
      </c>
      <c r="M46" s="68" t="s">
        <v>138</v>
      </c>
      <c r="N46" s="67">
        <v>1</v>
      </c>
      <c r="O46" s="68">
        <f t="shared" si="11"/>
        <v>3</v>
      </c>
      <c r="P46" s="44">
        <f>N46*O46</f>
        <v>3</v>
      </c>
      <c r="Q46" s="86" t="s">
        <v>203</v>
      </c>
      <c r="R46" s="68" t="s">
        <v>13</v>
      </c>
      <c r="S46" s="97">
        <v>6</v>
      </c>
      <c r="T46" s="86">
        <v>44435</v>
      </c>
      <c r="U46" s="100">
        <f t="shared" si="5"/>
        <v>46625</v>
      </c>
    </row>
    <row r="47" spans="1:21" x14ac:dyDescent="0.25">
      <c r="A47" s="82" t="s">
        <v>70</v>
      </c>
      <c r="B47" s="83" t="s">
        <v>85</v>
      </c>
      <c r="C47" s="84">
        <v>1</v>
      </c>
      <c r="D47" s="85" t="s">
        <v>93</v>
      </c>
      <c r="E47" s="64" t="s">
        <v>110</v>
      </c>
      <c r="F47" s="65" t="s">
        <v>199</v>
      </c>
      <c r="G47" s="23" t="s">
        <v>144</v>
      </c>
      <c r="H47" s="23" t="s">
        <v>126</v>
      </c>
      <c r="I47" s="50">
        <v>2</v>
      </c>
      <c r="J47" s="25">
        <v>2</v>
      </c>
      <c r="K47" s="39">
        <f>I47*J47</f>
        <v>4</v>
      </c>
      <c r="L47" s="51">
        <v>44435</v>
      </c>
      <c r="M47" s="25" t="s">
        <v>125</v>
      </c>
      <c r="N47" s="50">
        <v>1</v>
      </c>
      <c r="O47" s="25">
        <f t="shared" si="11"/>
        <v>2</v>
      </c>
      <c r="P47" s="39">
        <f>N47*O47</f>
        <v>2</v>
      </c>
      <c r="Q47" s="51" t="s">
        <v>202</v>
      </c>
      <c r="R47" s="25" t="s">
        <v>13</v>
      </c>
      <c r="S47" s="102"/>
      <c r="T47" s="51"/>
      <c r="U47" s="99"/>
    </row>
    <row r="48" spans="1:21" x14ac:dyDescent="0.25">
      <c r="A48" s="46" t="s">
        <v>313</v>
      </c>
      <c r="B48" s="56" t="s">
        <v>85</v>
      </c>
      <c r="C48" s="45">
        <v>1</v>
      </c>
      <c r="D48" s="38" t="s">
        <v>314</v>
      </c>
      <c r="E48" s="24" t="s">
        <v>109</v>
      </c>
      <c r="F48" s="40" t="s">
        <v>199</v>
      </c>
      <c r="G48" s="23" t="s">
        <v>315</v>
      </c>
      <c r="H48" s="23" t="s">
        <v>126</v>
      </c>
      <c r="I48" s="50">
        <v>2</v>
      </c>
      <c r="J48" s="25">
        <v>2</v>
      </c>
      <c r="K48" s="39">
        <f t="shared" si="8"/>
        <v>4</v>
      </c>
      <c r="L48" s="51">
        <v>44529</v>
      </c>
      <c r="M48" s="25" t="s">
        <v>115</v>
      </c>
      <c r="N48" s="50">
        <v>1</v>
      </c>
      <c r="O48" s="25">
        <f t="shared" si="11"/>
        <v>2</v>
      </c>
      <c r="P48" s="39">
        <f t="shared" si="7"/>
        <v>2</v>
      </c>
      <c r="Q48" s="52" t="s">
        <v>202</v>
      </c>
      <c r="R48" s="25" t="s">
        <v>13</v>
      </c>
      <c r="S48" s="97">
        <v>12</v>
      </c>
      <c r="T48" s="86">
        <v>44529</v>
      </c>
      <c r="U48" s="100">
        <f t="shared" si="5"/>
        <v>48909</v>
      </c>
    </row>
    <row r="49" spans="1:21" x14ac:dyDescent="0.25">
      <c r="A49" s="46" t="s">
        <v>313</v>
      </c>
      <c r="B49" s="56" t="s">
        <v>85</v>
      </c>
      <c r="C49" s="45">
        <v>1</v>
      </c>
      <c r="D49" s="38" t="s">
        <v>314</v>
      </c>
      <c r="E49" s="24" t="s">
        <v>109</v>
      </c>
      <c r="F49" s="40" t="s">
        <v>199</v>
      </c>
      <c r="G49" s="23" t="s">
        <v>123</v>
      </c>
      <c r="H49" s="23" t="s">
        <v>124</v>
      </c>
      <c r="I49" s="50">
        <v>2</v>
      </c>
      <c r="J49" s="25">
        <v>1</v>
      </c>
      <c r="K49" s="39">
        <f t="shared" si="8"/>
        <v>2</v>
      </c>
      <c r="L49" s="51">
        <v>44529</v>
      </c>
      <c r="M49" s="25" t="s">
        <v>125</v>
      </c>
      <c r="N49" s="50">
        <v>1</v>
      </c>
      <c r="O49" s="25">
        <f t="shared" si="11"/>
        <v>1</v>
      </c>
      <c r="P49" s="39">
        <f t="shared" si="7"/>
        <v>1</v>
      </c>
      <c r="Q49" s="52" t="s">
        <v>202</v>
      </c>
      <c r="R49" s="25" t="s">
        <v>13</v>
      </c>
      <c r="S49" s="102"/>
      <c r="T49" s="51"/>
      <c r="U49" s="99"/>
    </row>
    <row r="50" spans="1:21" x14ac:dyDescent="0.25">
      <c r="A50" s="46" t="s">
        <v>313</v>
      </c>
      <c r="B50" s="56" t="s">
        <v>85</v>
      </c>
      <c r="C50" s="45">
        <v>1</v>
      </c>
      <c r="D50" s="38" t="s">
        <v>314</v>
      </c>
      <c r="E50" s="24" t="s">
        <v>109</v>
      </c>
      <c r="F50" s="40" t="s">
        <v>199</v>
      </c>
      <c r="G50" s="23" t="s">
        <v>316</v>
      </c>
      <c r="H50" s="23" t="s">
        <v>175</v>
      </c>
      <c r="I50" s="50">
        <v>2</v>
      </c>
      <c r="J50" s="25">
        <v>2</v>
      </c>
      <c r="K50" s="39">
        <f t="shared" si="8"/>
        <v>4</v>
      </c>
      <c r="L50" s="51">
        <v>44529</v>
      </c>
      <c r="M50" s="25" t="s">
        <v>318</v>
      </c>
      <c r="N50" s="50">
        <v>1</v>
      </c>
      <c r="O50" s="25">
        <f t="shared" si="11"/>
        <v>2</v>
      </c>
      <c r="P50" s="39">
        <f t="shared" si="7"/>
        <v>2</v>
      </c>
      <c r="Q50" s="52" t="s">
        <v>204</v>
      </c>
      <c r="R50" s="25" t="s">
        <v>13</v>
      </c>
      <c r="S50" s="102"/>
      <c r="T50" s="51"/>
      <c r="U50" s="99"/>
    </row>
    <row r="51" spans="1:21" x14ac:dyDescent="0.25">
      <c r="A51" s="46" t="s">
        <v>313</v>
      </c>
      <c r="B51" s="56" t="s">
        <v>85</v>
      </c>
      <c r="C51" s="45">
        <v>1</v>
      </c>
      <c r="D51" s="38" t="s">
        <v>314</v>
      </c>
      <c r="E51" s="24" t="s">
        <v>109</v>
      </c>
      <c r="F51" s="40" t="s">
        <v>199</v>
      </c>
      <c r="G51" s="23" t="s">
        <v>194</v>
      </c>
      <c r="H51" s="23" t="s">
        <v>317</v>
      </c>
      <c r="I51" s="50">
        <v>2</v>
      </c>
      <c r="J51" s="25">
        <v>1</v>
      </c>
      <c r="K51" s="39">
        <f t="shared" si="8"/>
        <v>2</v>
      </c>
      <c r="L51" s="51">
        <v>44529</v>
      </c>
      <c r="M51" s="25" t="s">
        <v>163</v>
      </c>
      <c r="N51" s="50">
        <v>1</v>
      </c>
      <c r="O51" s="25">
        <f t="shared" si="11"/>
        <v>1</v>
      </c>
      <c r="P51" s="39">
        <f t="shared" si="7"/>
        <v>1</v>
      </c>
      <c r="Q51" s="52" t="s">
        <v>206</v>
      </c>
      <c r="R51" s="25" t="s">
        <v>13</v>
      </c>
      <c r="S51" s="102"/>
      <c r="T51" s="51"/>
      <c r="U51" s="99"/>
    </row>
    <row r="52" spans="1:21" x14ac:dyDescent="0.25">
      <c r="A52" s="47" t="s">
        <v>319</v>
      </c>
      <c r="B52" s="83" t="s">
        <v>85</v>
      </c>
      <c r="C52" s="84">
        <v>1</v>
      </c>
      <c r="D52" s="88" t="s">
        <v>320</v>
      </c>
      <c r="E52" s="64" t="s">
        <v>109</v>
      </c>
      <c r="F52" s="65" t="s">
        <v>199</v>
      </c>
      <c r="G52" s="66" t="s">
        <v>293</v>
      </c>
      <c r="H52" s="66" t="s">
        <v>285</v>
      </c>
      <c r="I52" s="67">
        <v>1</v>
      </c>
      <c r="J52" s="68">
        <v>3</v>
      </c>
      <c r="K52" s="44">
        <f t="shared" si="8"/>
        <v>3</v>
      </c>
      <c r="L52" s="86">
        <v>44529</v>
      </c>
      <c r="M52" s="68" t="s">
        <v>289</v>
      </c>
      <c r="N52" s="67">
        <v>1</v>
      </c>
      <c r="O52" s="68">
        <f t="shared" si="11"/>
        <v>3</v>
      </c>
      <c r="P52" s="44">
        <f t="shared" si="7"/>
        <v>3</v>
      </c>
      <c r="Q52" s="87" t="s">
        <v>206</v>
      </c>
      <c r="R52" s="68" t="s">
        <v>13</v>
      </c>
      <c r="S52" s="97">
        <v>12</v>
      </c>
      <c r="T52" s="86">
        <v>44529</v>
      </c>
      <c r="U52" s="100">
        <f t="shared" si="5"/>
        <v>48909</v>
      </c>
    </row>
    <row r="53" spans="1:21" x14ac:dyDescent="0.25">
      <c r="A53" s="46" t="s">
        <v>319</v>
      </c>
      <c r="B53" s="56" t="s">
        <v>85</v>
      </c>
      <c r="C53" s="45">
        <v>1</v>
      </c>
      <c r="D53" s="38" t="s">
        <v>320</v>
      </c>
      <c r="E53" s="24" t="s">
        <v>109</v>
      </c>
      <c r="F53" s="40" t="s">
        <v>199</v>
      </c>
      <c r="G53" s="23" t="s">
        <v>292</v>
      </c>
      <c r="H53" s="23" t="s">
        <v>126</v>
      </c>
      <c r="I53" s="50">
        <v>2</v>
      </c>
      <c r="J53" s="25">
        <v>2</v>
      </c>
      <c r="K53" s="39">
        <f t="shared" si="8"/>
        <v>4</v>
      </c>
      <c r="L53" s="51">
        <v>44529</v>
      </c>
      <c r="M53" s="25" t="s">
        <v>115</v>
      </c>
      <c r="N53" s="50">
        <v>1</v>
      </c>
      <c r="O53" s="25">
        <f t="shared" si="11"/>
        <v>2</v>
      </c>
      <c r="P53" s="39">
        <f t="shared" si="7"/>
        <v>2</v>
      </c>
      <c r="Q53" s="52" t="s">
        <v>202</v>
      </c>
      <c r="R53" s="25" t="s">
        <v>13</v>
      </c>
      <c r="S53" s="102"/>
      <c r="T53" s="51"/>
      <c r="U53" s="99"/>
    </row>
    <row r="54" spans="1:21" x14ac:dyDescent="0.25">
      <c r="A54" s="46" t="s">
        <v>319</v>
      </c>
      <c r="B54" s="56" t="s">
        <v>85</v>
      </c>
      <c r="C54" s="45">
        <v>1</v>
      </c>
      <c r="D54" s="38" t="s">
        <v>320</v>
      </c>
      <c r="E54" s="24" t="s">
        <v>109</v>
      </c>
      <c r="F54" s="40" t="s">
        <v>199</v>
      </c>
      <c r="G54" s="23" t="s">
        <v>123</v>
      </c>
      <c r="H54" s="23" t="s">
        <v>124</v>
      </c>
      <c r="I54" s="50">
        <v>2</v>
      </c>
      <c r="J54" s="25">
        <v>1</v>
      </c>
      <c r="K54" s="39">
        <f t="shared" si="8"/>
        <v>2</v>
      </c>
      <c r="L54" s="51">
        <v>44529</v>
      </c>
      <c r="M54" s="25" t="s">
        <v>125</v>
      </c>
      <c r="N54" s="50">
        <v>1</v>
      </c>
      <c r="O54" s="25">
        <f t="shared" si="11"/>
        <v>1</v>
      </c>
      <c r="P54" s="39">
        <f t="shared" si="7"/>
        <v>1</v>
      </c>
      <c r="Q54" s="52" t="s">
        <v>202</v>
      </c>
      <c r="R54" s="25" t="s">
        <v>13</v>
      </c>
      <c r="S54" s="102"/>
      <c r="T54" s="51"/>
      <c r="U54" s="99"/>
    </row>
    <row r="55" spans="1:21" x14ac:dyDescent="0.25">
      <c r="A55" s="47" t="s">
        <v>321</v>
      </c>
      <c r="B55" s="83" t="s">
        <v>85</v>
      </c>
      <c r="C55" s="84">
        <v>1</v>
      </c>
      <c r="D55" s="88" t="s">
        <v>322</v>
      </c>
      <c r="E55" s="64" t="s">
        <v>109</v>
      </c>
      <c r="F55" s="65" t="s">
        <v>323</v>
      </c>
      <c r="G55" s="66" t="s">
        <v>324</v>
      </c>
      <c r="H55" s="66" t="s">
        <v>126</v>
      </c>
      <c r="I55" s="67">
        <v>1</v>
      </c>
      <c r="J55" s="68">
        <v>1</v>
      </c>
      <c r="K55" s="44">
        <f t="shared" si="8"/>
        <v>1</v>
      </c>
      <c r="L55" s="86">
        <v>44529</v>
      </c>
      <c r="M55" s="68" t="s">
        <v>115</v>
      </c>
      <c r="N55" s="67">
        <v>1</v>
      </c>
      <c r="O55" s="68">
        <f t="shared" si="11"/>
        <v>1</v>
      </c>
      <c r="P55" s="44">
        <f t="shared" si="7"/>
        <v>1</v>
      </c>
      <c r="Q55" s="87" t="s">
        <v>242</v>
      </c>
      <c r="R55" s="67" t="s">
        <v>13</v>
      </c>
      <c r="S55" s="97">
        <v>12</v>
      </c>
      <c r="T55" s="86">
        <v>44529</v>
      </c>
      <c r="U55" s="100">
        <f t="shared" ref="U55:U103" si="13">T55+(S55*365)</f>
        <v>48909</v>
      </c>
    </row>
    <row r="56" spans="1:21" x14ac:dyDescent="0.25">
      <c r="A56" s="47" t="s">
        <v>325</v>
      </c>
      <c r="B56" s="83" t="s">
        <v>85</v>
      </c>
      <c r="C56" s="84">
        <v>1</v>
      </c>
      <c r="D56" s="88" t="s">
        <v>326</v>
      </c>
      <c r="E56" s="64" t="s">
        <v>109</v>
      </c>
      <c r="F56" s="65" t="s">
        <v>199</v>
      </c>
      <c r="G56" s="66" t="s">
        <v>123</v>
      </c>
      <c r="H56" s="66" t="s">
        <v>124</v>
      </c>
      <c r="I56" s="67">
        <v>2</v>
      </c>
      <c r="J56" s="68">
        <v>1</v>
      </c>
      <c r="K56" s="44">
        <f t="shared" si="8"/>
        <v>2</v>
      </c>
      <c r="L56" s="86">
        <v>44529</v>
      </c>
      <c r="M56" s="68" t="s">
        <v>125</v>
      </c>
      <c r="N56" s="67">
        <v>1</v>
      </c>
      <c r="O56" s="68">
        <f t="shared" si="11"/>
        <v>1</v>
      </c>
      <c r="P56" s="44">
        <f t="shared" si="7"/>
        <v>1</v>
      </c>
      <c r="Q56" s="92" t="s">
        <v>202</v>
      </c>
      <c r="R56" s="67" t="s">
        <v>13</v>
      </c>
      <c r="S56" s="97">
        <v>12</v>
      </c>
      <c r="T56" s="86">
        <v>44529</v>
      </c>
      <c r="U56" s="100">
        <f t="shared" si="13"/>
        <v>48909</v>
      </c>
    </row>
    <row r="57" spans="1:21" x14ac:dyDescent="0.25">
      <c r="A57" s="46" t="s">
        <v>325</v>
      </c>
      <c r="B57" s="56" t="s">
        <v>85</v>
      </c>
      <c r="C57" s="45">
        <v>1</v>
      </c>
      <c r="D57" s="38" t="s">
        <v>326</v>
      </c>
      <c r="E57" s="24" t="s">
        <v>109</v>
      </c>
      <c r="F57" s="40" t="s">
        <v>199</v>
      </c>
      <c r="G57" s="23" t="s">
        <v>327</v>
      </c>
      <c r="H57" s="23" t="s">
        <v>126</v>
      </c>
      <c r="I57" s="50">
        <v>2</v>
      </c>
      <c r="J57" s="25">
        <v>3</v>
      </c>
      <c r="K57" s="39">
        <f t="shared" si="8"/>
        <v>6</v>
      </c>
      <c r="L57" s="94">
        <v>44529</v>
      </c>
      <c r="M57" s="25" t="s">
        <v>328</v>
      </c>
      <c r="N57" s="50">
        <v>1</v>
      </c>
      <c r="O57" s="25">
        <f t="shared" si="11"/>
        <v>3</v>
      </c>
      <c r="P57" s="39">
        <f t="shared" si="7"/>
        <v>3</v>
      </c>
      <c r="Q57" s="91" t="s">
        <v>202</v>
      </c>
      <c r="R57" s="50" t="s">
        <v>13</v>
      </c>
      <c r="S57" s="102"/>
      <c r="T57" s="94"/>
      <c r="U57" s="99"/>
    </row>
    <row r="58" spans="1:21" x14ac:dyDescent="0.25">
      <c r="A58" s="46" t="s">
        <v>325</v>
      </c>
      <c r="B58" s="56" t="s">
        <v>85</v>
      </c>
      <c r="C58" s="45">
        <v>1</v>
      </c>
      <c r="D58" s="38" t="s">
        <v>326</v>
      </c>
      <c r="E58" s="24" t="s">
        <v>109</v>
      </c>
      <c r="F58" s="40" t="s">
        <v>199</v>
      </c>
      <c r="G58" s="23" t="s">
        <v>298</v>
      </c>
      <c r="H58" s="23" t="s">
        <v>126</v>
      </c>
      <c r="I58" s="50">
        <v>2</v>
      </c>
      <c r="J58" s="25">
        <v>2</v>
      </c>
      <c r="K58" s="39">
        <f t="shared" si="8"/>
        <v>4</v>
      </c>
      <c r="L58" s="94">
        <v>44529</v>
      </c>
      <c r="M58" s="25" t="s">
        <v>115</v>
      </c>
      <c r="N58" s="50">
        <v>1</v>
      </c>
      <c r="O58" s="25">
        <f t="shared" ref="O58:O61" si="14">J58</f>
        <v>2</v>
      </c>
      <c r="P58" s="39">
        <f t="shared" si="7"/>
        <v>2</v>
      </c>
      <c r="Q58" s="91" t="s">
        <v>202</v>
      </c>
      <c r="R58" s="50" t="s">
        <v>13</v>
      </c>
      <c r="S58" s="102"/>
      <c r="T58" s="94"/>
      <c r="U58" s="99"/>
    </row>
    <row r="59" spans="1:21" x14ac:dyDescent="0.25">
      <c r="A59" s="46" t="s">
        <v>325</v>
      </c>
      <c r="B59" s="56" t="s">
        <v>85</v>
      </c>
      <c r="C59" s="45">
        <v>1</v>
      </c>
      <c r="D59" s="38" t="s">
        <v>326</v>
      </c>
      <c r="E59" s="24" t="s">
        <v>109</v>
      </c>
      <c r="F59" s="40" t="s">
        <v>199</v>
      </c>
      <c r="G59" s="23" t="s">
        <v>293</v>
      </c>
      <c r="H59" s="23" t="s">
        <v>285</v>
      </c>
      <c r="I59" s="50">
        <v>2</v>
      </c>
      <c r="J59" s="25">
        <v>2</v>
      </c>
      <c r="K59" s="39">
        <f t="shared" si="8"/>
        <v>4</v>
      </c>
      <c r="L59" s="94">
        <v>44529</v>
      </c>
      <c r="M59" s="25" t="s">
        <v>329</v>
      </c>
      <c r="N59" s="50">
        <v>1</v>
      </c>
      <c r="O59" s="25">
        <f t="shared" si="14"/>
        <v>2</v>
      </c>
      <c r="P59" s="39">
        <f t="shared" si="7"/>
        <v>2</v>
      </c>
      <c r="Q59" s="91" t="s">
        <v>202</v>
      </c>
      <c r="R59" s="50" t="s">
        <v>13</v>
      </c>
      <c r="S59" s="102"/>
      <c r="T59" s="94"/>
      <c r="U59" s="99"/>
    </row>
    <row r="60" spans="1:21" x14ac:dyDescent="0.25">
      <c r="A60" s="46" t="s">
        <v>325</v>
      </c>
      <c r="B60" s="56" t="s">
        <v>85</v>
      </c>
      <c r="C60" s="45">
        <v>1</v>
      </c>
      <c r="D60" s="38" t="s">
        <v>326</v>
      </c>
      <c r="E60" s="24" t="s">
        <v>109</v>
      </c>
      <c r="F60" s="40" t="s">
        <v>199</v>
      </c>
      <c r="G60" s="23" t="s">
        <v>116</v>
      </c>
      <c r="H60" s="23" t="s">
        <v>126</v>
      </c>
      <c r="I60" s="50">
        <v>2</v>
      </c>
      <c r="J60" s="25">
        <v>2</v>
      </c>
      <c r="K60" s="39">
        <f t="shared" si="8"/>
        <v>4</v>
      </c>
      <c r="L60" s="94">
        <v>44529</v>
      </c>
      <c r="M60" s="25" t="s">
        <v>125</v>
      </c>
      <c r="N60" s="50">
        <v>1</v>
      </c>
      <c r="O60" s="25">
        <f t="shared" si="14"/>
        <v>2</v>
      </c>
      <c r="P60" s="39">
        <f t="shared" si="7"/>
        <v>2</v>
      </c>
      <c r="Q60" s="91" t="s">
        <v>202</v>
      </c>
      <c r="R60" s="50" t="s">
        <v>13</v>
      </c>
      <c r="S60" s="102"/>
      <c r="T60" s="94"/>
      <c r="U60" s="99"/>
    </row>
    <row r="61" spans="1:21" x14ac:dyDescent="0.25">
      <c r="A61" s="46" t="s">
        <v>325</v>
      </c>
      <c r="B61" s="56" t="s">
        <v>85</v>
      </c>
      <c r="C61" s="45">
        <v>1</v>
      </c>
      <c r="D61" s="38" t="s">
        <v>326</v>
      </c>
      <c r="E61" s="24" t="s">
        <v>109</v>
      </c>
      <c r="F61" s="40" t="s">
        <v>199</v>
      </c>
      <c r="G61" s="23" t="s">
        <v>316</v>
      </c>
      <c r="H61" s="23" t="s">
        <v>175</v>
      </c>
      <c r="I61" s="50">
        <v>2</v>
      </c>
      <c r="J61" s="25">
        <v>2</v>
      </c>
      <c r="K61" s="39">
        <f t="shared" si="8"/>
        <v>4</v>
      </c>
      <c r="L61" s="94">
        <v>44529</v>
      </c>
      <c r="M61" s="25" t="s">
        <v>115</v>
      </c>
      <c r="N61" s="50">
        <v>1</v>
      </c>
      <c r="O61" s="25">
        <f t="shared" si="14"/>
        <v>2</v>
      </c>
      <c r="P61" s="39">
        <f t="shared" si="7"/>
        <v>2</v>
      </c>
      <c r="Q61" s="91" t="s">
        <v>206</v>
      </c>
      <c r="R61" s="50" t="s">
        <v>13</v>
      </c>
      <c r="S61" s="102"/>
      <c r="T61" s="94"/>
      <c r="U61" s="99"/>
    </row>
    <row r="62" spans="1:21" ht="30" x14ac:dyDescent="0.25">
      <c r="A62" s="82" t="s">
        <v>71</v>
      </c>
      <c r="B62" s="83" t="s">
        <v>85</v>
      </c>
      <c r="C62" s="84">
        <v>1</v>
      </c>
      <c r="D62" s="85" t="s">
        <v>94</v>
      </c>
      <c r="E62" s="64" t="s">
        <v>109</v>
      </c>
      <c r="F62" s="65" t="s">
        <v>198</v>
      </c>
      <c r="G62" s="66" t="s">
        <v>145</v>
      </c>
      <c r="H62" s="66" t="s">
        <v>146</v>
      </c>
      <c r="I62" s="67">
        <v>3</v>
      </c>
      <c r="J62" s="68">
        <v>2</v>
      </c>
      <c r="K62" s="44">
        <f t="shared" si="8"/>
        <v>6</v>
      </c>
      <c r="L62" s="86">
        <v>44435</v>
      </c>
      <c r="M62" s="68" t="s">
        <v>130</v>
      </c>
      <c r="N62" s="67">
        <v>1</v>
      </c>
      <c r="O62" s="68">
        <f t="shared" si="6"/>
        <v>2</v>
      </c>
      <c r="P62" s="44">
        <f t="shared" si="7"/>
        <v>2</v>
      </c>
      <c r="Q62" s="86" t="s">
        <v>203</v>
      </c>
      <c r="R62" s="68" t="s">
        <v>13</v>
      </c>
      <c r="S62" s="97">
        <v>6</v>
      </c>
      <c r="T62" s="120">
        <v>44435</v>
      </c>
      <c r="U62" s="100">
        <f t="shared" si="13"/>
        <v>46625</v>
      </c>
    </row>
    <row r="63" spans="1:21" ht="30" x14ac:dyDescent="0.25">
      <c r="A63" s="55" t="s">
        <v>71</v>
      </c>
      <c r="B63" s="56" t="s">
        <v>85</v>
      </c>
      <c r="C63" s="45">
        <v>1</v>
      </c>
      <c r="D63" s="61" t="s">
        <v>94</v>
      </c>
      <c r="E63" s="24" t="s">
        <v>109</v>
      </c>
      <c r="F63" s="40" t="s">
        <v>198</v>
      </c>
      <c r="G63" s="23" t="s">
        <v>144</v>
      </c>
      <c r="H63" s="23" t="s">
        <v>126</v>
      </c>
      <c r="I63" s="50">
        <v>2</v>
      </c>
      <c r="J63" s="25">
        <v>2</v>
      </c>
      <c r="K63" s="39">
        <f t="shared" si="8"/>
        <v>4</v>
      </c>
      <c r="L63" s="51">
        <v>44435</v>
      </c>
      <c r="M63" s="25" t="s">
        <v>125</v>
      </c>
      <c r="N63" s="50">
        <v>1</v>
      </c>
      <c r="O63" s="25">
        <f t="shared" si="6"/>
        <v>2</v>
      </c>
      <c r="P63" s="39">
        <f t="shared" si="7"/>
        <v>2</v>
      </c>
      <c r="Q63" s="51" t="s">
        <v>202</v>
      </c>
      <c r="R63" s="25" t="s">
        <v>13</v>
      </c>
      <c r="S63" s="102"/>
      <c r="T63" s="51"/>
      <c r="U63" s="99"/>
    </row>
    <row r="64" spans="1:21" ht="30" x14ac:dyDescent="0.25">
      <c r="A64" s="55" t="s">
        <v>71</v>
      </c>
      <c r="B64" s="56" t="s">
        <v>85</v>
      </c>
      <c r="C64" s="45">
        <v>1</v>
      </c>
      <c r="D64" s="61" t="s">
        <v>94</v>
      </c>
      <c r="E64" s="24" t="s">
        <v>109</v>
      </c>
      <c r="F64" s="40" t="s">
        <v>198</v>
      </c>
      <c r="G64" s="23" t="s">
        <v>147</v>
      </c>
      <c r="H64" s="23" t="s">
        <v>148</v>
      </c>
      <c r="I64" s="50">
        <v>2</v>
      </c>
      <c r="J64" s="25">
        <v>3</v>
      </c>
      <c r="K64" s="39">
        <f t="shared" si="8"/>
        <v>6</v>
      </c>
      <c r="L64" s="51">
        <v>44435</v>
      </c>
      <c r="M64" s="25" t="s">
        <v>150</v>
      </c>
      <c r="N64" s="50">
        <v>1</v>
      </c>
      <c r="O64" s="25">
        <f t="shared" si="6"/>
        <v>3</v>
      </c>
      <c r="P64" s="39">
        <f t="shared" si="7"/>
        <v>3</v>
      </c>
      <c r="Q64" s="51" t="s">
        <v>204</v>
      </c>
      <c r="R64" s="25" t="s">
        <v>13</v>
      </c>
      <c r="S64" s="102"/>
      <c r="T64" s="51"/>
      <c r="U64" s="99"/>
    </row>
    <row r="65" spans="1:21" ht="30" x14ac:dyDescent="0.25">
      <c r="A65" s="55" t="s">
        <v>71</v>
      </c>
      <c r="B65" s="56" t="s">
        <v>85</v>
      </c>
      <c r="C65" s="45">
        <v>1</v>
      </c>
      <c r="D65" s="61" t="s">
        <v>94</v>
      </c>
      <c r="E65" s="24" t="s">
        <v>109</v>
      </c>
      <c r="F65" s="40" t="s">
        <v>198</v>
      </c>
      <c r="G65" s="23" t="s">
        <v>149</v>
      </c>
      <c r="H65" s="43" t="s">
        <v>136</v>
      </c>
      <c r="I65" s="50">
        <v>3</v>
      </c>
      <c r="J65" s="25">
        <v>1</v>
      </c>
      <c r="K65" s="39">
        <f t="shared" si="8"/>
        <v>3</v>
      </c>
      <c r="L65" s="51">
        <v>44435</v>
      </c>
      <c r="M65" s="25" t="s">
        <v>137</v>
      </c>
      <c r="N65" s="50">
        <v>1</v>
      </c>
      <c r="O65" s="25">
        <f t="shared" si="6"/>
        <v>1</v>
      </c>
      <c r="P65" s="39">
        <f t="shared" si="7"/>
        <v>1</v>
      </c>
      <c r="Q65" s="51" t="s">
        <v>203</v>
      </c>
      <c r="R65" s="25" t="s">
        <v>13</v>
      </c>
      <c r="S65" s="102"/>
      <c r="T65" s="51"/>
      <c r="U65" s="99"/>
    </row>
    <row r="66" spans="1:21" ht="30" x14ac:dyDescent="0.25">
      <c r="A66" s="55" t="s">
        <v>71</v>
      </c>
      <c r="B66" s="56" t="s">
        <v>85</v>
      </c>
      <c r="C66" s="45">
        <v>1</v>
      </c>
      <c r="D66" s="61" t="s">
        <v>94</v>
      </c>
      <c r="E66" s="24" t="s">
        <v>109</v>
      </c>
      <c r="F66" s="40" t="s">
        <v>198</v>
      </c>
      <c r="G66" s="23" t="s">
        <v>151</v>
      </c>
      <c r="H66" s="43" t="s">
        <v>152</v>
      </c>
      <c r="I66" s="50">
        <v>2</v>
      </c>
      <c r="J66" s="25">
        <v>2</v>
      </c>
      <c r="K66" s="39">
        <f t="shared" si="8"/>
        <v>4</v>
      </c>
      <c r="L66" s="51">
        <v>44435</v>
      </c>
      <c r="M66" s="25" t="s">
        <v>153</v>
      </c>
      <c r="N66" s="50">
        <v>1</v>
      </c>
      <c r="O66" s="25">
        <f t="shared" si="6"/>
        <v>2</v>
      </c>
      <c r="P66" s="39">
        <f t="shared" si="7"/>
        <v>2</v>
      </c>
      <c r="Q66" s="51" t="s">
        <v>206</v>
      </c>
      <c r="R66" s="25" t="s">
        <v>13</v>
      </c>
      <c r="S66" s="102"/>
      <c r="T66" s="51"/>
      <c r="U66" s="99"/>
    </row>
    <row r="67" spans="1:21" x14ac:dyDescent="0.25">
      <c r="A67" s="55" t="s">
        <v>72</v>
      </c>
      <c r="B67" s="56" t="s">
        <v>85</v>
      </c>
      <c r="C67" s="45">
        <v>1</v>
      </c>
      <c r="D67" s="61" t="s">
        <v>95</v>
      </c>
      <c r="E67" s="24" t="s">
        <v>109</v>
      </c>
      <c r="F67" s="40" t="s">
        <v>199</v>
      </c>
      <c r="G67" s="23" t="s">
        <v>113</v>
      </c>
      <c r="H67" s="23" t="s">
        <v>114</v>
      </c>
      <c r="I67" s="50">
        <v>3</v>
      </c>
      <c r="J67" s="25">
        <v>4</v>
      </c>
      <c r="K67" s="39">
        <f t="shared" si="8"/>
        <v>12</v>
      </c>
      <c r="L67" s="51">
        <v>44435</v>
      </c>
      <c r="M67" s="25" t="s">
        <v>115</v>
      </c>
      <c r="N67" s="50">
        <v>1</v>
      </c>
      <c r="O67" s="25">
        <f t="shared" si="6"/>
        <v>4</v>
      </c>
      <c r="P67" s="39">
        <f t="shared" si="7"/>
        <v>4</v>
      </c>
      <c r="Q67" s="51" t="s">
        <v>206</v>
      </c>
      <c r="R67" s="25" t="s">
        <v>13</v>
      </c>
      <c r="S67" s="97">
        <v>6</v>
      </c>
      <c r="T67" s="86">
        <v>44435</v>
      </c>
      <c r="U67" s="100">
        <f t="shared" si="13"/>
        <v>46625</v>
      </c>
    </row>
    <row r="68" spans="1:21" x14ac:dyDescent="0.25">
      <c r="A68" s="55" t="s">
        <v>72</v>
      </c>
      <c r="B68" s="56" t="s">
        <v>85</v>
      </c>
      <c r="C68" s="45">
        <v>1</v>
      </c>
      <c r="D68" s="61" t="s">
        <v>95</v>
      </c>
      <c r="E68" s="24" t="s">
        <v>109</v>
      </c>
      <c r="F68" s="40" t="s">
        <v>199</v>
      </c>
      <c r="G68" s="23" t="s">
        <v>116</v>
      </c>
      <c r="H68" s="23" t="s">
        <v>114</v>
      </c>
      <c r="I68" s="50">
        <v>3</v>
      </c>
      <c r="J68" s="25">
        <v>3</v>
      </c>
      <c r="K68" s="39">
        <f t="shared" si="8"/>
        <v>9</v>
      </c>
      <c r="L68" s="51">
        <v>44435</v>
      </c>
      <c r="M68" s="25" t="s">
        <v>117</v>
      </c>
      <c r="N68" s="50">
        <v>1</v>
      </c>
      <c r="O68" s="25">
        <f t="shared" si="6"/>
        <v>3</v>
      </c>
      <c r="P68" s="39">
        <f t="shared" si="7"/>
        <v>3</v>
      </c>
      <c r="Q68" s="51" t="s">
        <v>206</v>
      </c>
      <c r="R68" s="25" t="s">
        <v>13</v>
      </c>
      <c r="S68" s="102"/>
      <c r="T68" s="51"/>
      <c r="U68" s="99"/>
    </row>
    <row r="69" spans="1:21" x14ac:dyDescent="0.25">
      <c r="A69" s="55" t="s">
        <v>72</v>
      </c>
      <c r="B69" s="56" t="s">
        <v>85</v>
      </c>
      <c r="C69" s="45">
        <v>1</v>
      </c>
      <c r="D69" s="61" t="s">
        <v>95</v>
      </c>
      <c r="E69" s="24" t="s">
        <v>109</v>
      </c>
      <c r="F69" s="40" t="s">
        <v>199</v>
      </c>
      <c r="G69" s="23" t="s">
        <v>118</v>
      </c>
      <c r="H69" s="23" t="s">
        <v>119</v>
      </c>
      <c r="I69" s="50">
        <v>2</v>
      </c>
      <c r="J69" s="25">
        <v>3</v>
      </c>
      <c r="K69" s="39">
        <f t="shared" si="8"/>
        <v>6</v>
      </c>
      <c r="L69" s="51">
        <v>44435</v>
      </c>
      <c r="M69" s="25" t="s">
        <v>120</v>
      </c>
      <c r="N69" s="50">
        <v>1</v>
      </c>
      <c r="O69" s="25">
        <f t="shared" si="6"/>
        <v>3</v>
      </c>
      <c r="P69" s="39">
        <f t="shared" si="7"/>
        <v>3</v>
      </c>
      <c r="Q69" s="51" t="s">
        <v>204</v>
      </c>
      <c r="R69" s="25" t="s">
        <v>13</v>
      </c>
      <c r="S69" s="102"/>
      <c r="T69" s="51"/>
      <c r="U69" s="99"/>
    </row>
    <row r="70" spans="1:21" x14ac:dyDescent="0.25">
      <c r="A70" s="55" t="s">
        <v>73</v>
      </c>
      <c r="B70" s="56" t="s">
        <v>85</v>
      </c>
      <c r="C70" s="45">
        <v>1</v>
      </c>
      <c r="D70" s="61" t="s">
        <v>96</v>
      </c>
      <c r="E70" s="24" t="s">
        <v>109</v>
      </c>
      <c r="F70" s="40" t="s">
        <v>198</v>
      </c>
      <c r="G70" s="23" t="s">
        <v>116</v>
      </c>
      <c r="H70" s="23" t="s">
        <v>126</v>
      </c>
      <c r="I70" s="50">
        <v>2</v>
      </c>
      <c r="J70" s="25">
        <v>2</v>
      </c>
      <c r="K70" s="39">
        <f>I70*J70</f>
        <v>4</v>
      </c>
      <c r="L70" s="51">
        <v>44435</v>
      </c>
      <c r="M70" s="25" t="s">
        <v>138</v>
      </c>
      <c r="N70" s="50">
        <v>1</v>
      </c>
      <c r="O70" s="25">
        <f>J70</f>
        <v>2</v>
      </c>
      <c r="P70" s="39">
        <f>N70*O70</f>
        <v>2</v>
      </c>
      <c r="Q70" s="52" t="s">
        <v>203</v>
      </c>
      <c r="R70" s="25" t="s">
        <v>13</v>
      </c>
      <c r="S70" s="97">
        <v>6</v>
      </c>
      <c r="T70" s="86">
        <v>44435</v>
      </c>
      <c r="U70" s="100">
        <f t="shared" si="13"/>
        <v>46625</v>
      </c>
    </row>
    <row r="71" spans="1:21" x14ac:dyDescent="0.25">
      <c r="A71" s="55" t="s">
        <v>73</v>
      </c>
      <c r="B71" s="56" t="s">
        <v>85</v>
      </c>
      <c r="C71" s="45">
        <v>1</v>
      </c>
      <c r="D71" s="61" t="s">
        <v>96</v>
      </c>
      <c r="E71" s="24" t="s">
        <v>109</v>
      </c>
      <c r="F71" s="40" t="s">
        <v>198</v>
      </c>
      <c r="G71" s="23" t="s">
        <v>154</v>
      </c>
      <c r="H71" s="23" t="s">
        <v>126</v>
      </c>
      <c r="I71" s="50">
        <v>2</v>
      </c>
      <c r="J71" s="25">
        <v>2</v>
      </c>
      <c r="K71" s="39">
        <f t="shared" ref="K71:K74" si="15">I71*J71</f>
        <v>4</v>
      </c>
      <c r="L71" s="51">
        <v>44435</v>
      </c>
      <c r="M71" s="25" t="s">
        <v>115</v>
      </c>
      <c r="N71" s="50">
        <v>1</v>
      </c>
      <c r="O71" s="25">
        <f t="shared" ref="O71:O74" si="16">J71</f>
        <v>2</v>
      </c>
      <c r="P71" s="39">
        <f t="shared" ref="P71:P74" si="17">N71*O71</f>
        <v>2</v>
      </c>
      <c r="Q71" s="52" t="s">
        <v>203</v>
      </c>
      <c r="R71" s="25" t="s">
        <v>13</v>
      </c>
      <c r="S71" s="102"/>
      <c r="T71" s="51"/>
      <c r="U71" s="99"/>
    </row>
    <row r="72" spans="1:21" x14ac:dyDescent="0.25">
      <c r="A72" s="55" t="s">
        <v>73</v>
      </c>
      <c r="B72" s="56" t="s">
        <v>85</v>
      </c>
      <c r="C72" s="45">
        <v>1</v>
      </c>
      <c r="D72" s="61" t="s">
        <v>96</v>
      </c>
      <c r="E72" s="24" t="s">
        <v>109</v>
      </c>
      <c r="F72" s="40" t="s">
        <v>198</v>
      </c>
      <c r="G72" s="23" t="s">
        <v>155</v>
      </c>
      <c r="H72" s="23" t="s">
        <v>156</v>
      </c>
      <c r="I72" s="50">
        <v>2</v>
      </c>
      <c r="J72" s="25">
        <v>2</v>
      </c>
      <c r="K72" s="39">
        <f t="shared" si="15"/>
        <v>4</v>
      </c>
      <c r="L72" s="51">
        <v>44435</v>
      </c>
      <c r="M72" s="25" t="s">
        <v>157</v>
      </c>
      <c r="N72" s="50">
        <v>2</v>
      </c>
      <c r="O72" s="25">
        <f t="shared" si="16"/>
        <v>2</v>
      </c>
      <c r="P72" s="39">
        <f t="shared" si="17"/>
        <v>4</v>
      </c>
      <c r="Q72" s="52" t="s">
        <v>203</v>
      </c>
      <c r="R72" s="25" t="s">
        <v>13</v>
      </c>
      <c r="S72" s="102"/>
      <c r="T72" s="51"/>
      <c r="U72" s="99"/>
    </row>
    <row r="73" spans="1:21" x14ac:dyDescent="0.25">
      <c r="A73" s="55" t="s">
        <v>73</v>
      </c>
      <c r="B73" s="56" t="s">
        <v>85</v>
      </c>
      <c r="C73" s="45">
        <v>1</v>
      </c>
      <c r="D73" s="61" t="s">
        <v>96</v>
      </c>
      <c r="E73" s="24" t="s">
        <v>109</v>
      </c>
      <c r="F73" s="40" t="s">
        <v>198</v>
      </c>
      <c r="G73" s="23" t="s">
        <v>158</v>
      </c>
      <c r="H73" s="23" t="s">
        <v>159</v>
      </c>
      <c r="I73" s="50">
        <v>2</v>
      </c>
      <c r="J73" s="25">
        <v>3</v>
      </c>
      <c r="K73" s="39">
        <f t="shared" si="15"/>
        <v>6</v>
      </c>
      <c r="L73" s="51">
        <v>44435</v>
      </c>
      <c r="M73" s="25" t="s">
        <v>160</v>
      </c>
      <c r="N73" s="50">
        <v>1</v>
      </c>
      <c r="O73" s="25">
        <f t="shared" si="16"/>
        <v>3</v>
      </c>
      <c r="P73" s="39">
        <f t="shared" si="17"/>
        <v>3</v>
      </c>
      <c r="Q73" s="52" t="s">
        <v>203</v>
      </c>
      <c r="R73" s="25" t="s">
        <v>13</v>
      </c>
      <c r="S73" s="102"/>
      <c r="T73" s="51"/>
      <c r="U73" s="99"/>
    </row>
    <row r="74" spans="1:21" x14ac:dyDescent="0.25">
      <c r="A74" s="55" t="s">
        <v>73</v>
      </c>
      <c r="B74" s="56" t="s">
        <v>85</v>
      </c>
      <c r="C74" s="45">
        <v>1</v>
      </c>
      <c r="D74" s="61" t="s">
        <v>96</v>
      </c>
      <c r="E74" s="24" t="s">
        <v>109</v>
      </c>
      <c r="F74" s="40" t="s">
        <v>198</v>
      </c>
      <c r="G74" s="23" t="s">
        <v>161</v>
      </c>
      <c r="H74" s="23" t="s">
        <v>162</v>
      </c>
      <c r="I74" s="50">
        <v>3</v>
      </c>
      <c r="J74" s="25">
        <v>2</v>
      </c>
      <c r="K74" s="39">
        <f t="shared" si="15"/>
        <v>6</v>
      </c>
      <c r="L74" s="51">
        <v>44435</v>
      </c>
      <c r="M74" s="25" t="s">
        <v>163</v>
      </c>
      <c r="N74" s="50">
        <v>1</v>
      </c>
      <c r="O74" s="25">
        <f t="shared" si="16"/>
        <v>2</v>
      </c>
      <c r="P74" s="39">
        <f t="shared" si="17"/>
        <v>2</v>
      </c>
      <c r="Q74" s="52" t="s">
        <v>206</v>
      </c>
      <c r="R74" s="25" t="s">
        <v>13</v>
      </c>
      <c r="S74" s="102"/>
      <c r="T74" s="51"/>
      <c r="U74" s="99"/>
    </row>
    <row r="75" spans="1:21" x14ac:dyDescent="0.25">
      <c r="A75" s="46" t="s">
        <v>330</v>
      </c>
      <c r="B75" s="56" t="s">
        <v>85</v>
      </c>
      <c r="C75" s="45">
        <v>1</v>
      </c>
      <c r="D75" s="38" t="s">
        <v>331</v>
      </c>
      <c r="E75" s="24" t="s">
        <v>109</v>
      </c>
      <c r="F75" s="40" t="s">
        <v>199</v>
      </c>
      <c r="G75" s="23" t="s">
        <v>298</v>
      </c>
      <c r="H75" s="23" t="s">
        <v>126</v>
      </c>
      <c r="I75" s="50">
        <v>2</v>
      </c>
      <c r="J75" s="25">
        <v>2</v>
      </c>
      <c r="K75" s="39">
        <f t="shared" si="8"/>
        <v>4</v>
      </c>
      <c r="L75" s="86">
        <v>44529</v>
      </c>
      <c r="M75" s="25" t="s">
        <v>115</v>
      </c>
      <c r="N75" s="50">
        <v>1</v>
      </c>
      <c r="O75" s="25">
        <f>J75</f>
        <v>2</v>
      </c>
      <c r="P75" s="39">
        <f t="shared" si="7"/>
        <v>2</v>
      </c>
      <c r="Q75" s="52" t="s">
        <v>202</v>
      </c>
      <c r="R75" s="25" t="s">
        <v>13</v>
      </c>
      <c r="S75" s="97">
        <v>12</v>
      </c>
      <c r="T75" s="86">
        <v>44529</v>
      </c>
      <c r="U75" s="100">
        <f t="shared" si="13"/>
        <v>48909</v>
      </c>
    </row>
    <row r="76" spans="1:21" x14ac:dyDescent="0.25">
      <c r="A76" s="46" t="s">
        <v>330</v>
      </c>
      <c r="B76" s="56" t="s">
        <v>85</v>
      </c>
      <c r="C76" s="45">
        <v>1</v>
      </c>
      <c r="D76" s="38" t="s">
        <v>331</v>
      </c>
      <c r="E76" s="24" t="s">
        <v>109</v>
      </c>
      <c r="F76" s="40" t="s">
        <v>199</v>
      </c>
      <c r="G76" s="23" t="s">
        <v>293</v>
      </c>
      <c r="H76" s="23" t="s">
        <v>285</v>
      </c>
      <c r="I76" s="50">
        <v>2</v>
      </c>
      <c r="J76" s="25">
        <v>1</v>
      </c>
      <c r="K76" s="39">
        <f t="shared" si="8"/>
        <v>2</v>
      </c>
      <c r="L76" s="94">
        <v>44529</v>
      </c>
      <c r="M76" s="25" t="s">
        <v>289</v>
      </c>
      <c r="N76" s="50">
        <v>1</v>
      </c>
      <c r="O76" s="25">
        <f t="shared" ref="O76:O78" si="18">J76</f>
        <v>1</v>
      </c>
      <c r="P76" s="39">
        <f t="shared" si="7"/>
        <v>1</v>
      </c>
      <c r="Q76" s="52" t="s">
        <v>203</v>
      </c>
      <c r="R76" s="25" t="s">
        <v>13</v>
      </c>
      <c r="S76" s="102"/>
      <c r="T76" s="94"/>
      <c r="U76" s="99"/>
    </row>
    <row r="77" spans="1:21" x14ac:dyDescent="0.25">
      <c r="A77" s="46" t="s">
        <v>330</v>
      </c>
      <c r="B77" s="56" t="s">
        <v>85</v>
      </c>
      <c r="C77" s="45">
        <v>1</v>
      </c>
      <c r="D77" s="38" t="s">
        <v>331</v>
      </c>
      <c r="E77" s="24" t="s">
        <v>109</v>
      </c>
      <c r="F77" s="40" t="s">
        <v>199</v>
      </c>
      <c r="G77" s="23" t="s">
        <v>316</v>
      </c>
      <c r="H77" s="23" t="s">
        <v>175</v>
      </c>
      <c r="I77" s="50">
        <v>2</v>
      </c>
      <c r="J77" s="25">
        <v>2</v>
      </c>
      <c r="K77" s="39">
        <f t="shared" si="8"/>
        <v>4</v>
      </c>
      <c r="L77" s="94">
        <v>44529</v>
      </c>
      <c r="M77" s="25" t="s">
        <v>332</v>
      </c>
      <c r="N77" s="50">
        <v>1</v>
      </c>
      <c r="O77" s="25">
        <f t="shared" si="18"/>
        <v>2</v>
      </c>
      <c r="P77" s="39">
        <f t="shared" si="7"/>
        <v>2</v>
      </c>
      <c r="Q77" s="52" t="s">
        <v>203</v>
      </c>
      <c r="R77" s="25" t="s">
        <v>13</v>
      </c>
      <c r="S77" s="102"/>
      <c r="T77" s="94"/>
      <c r="U77" s="99"/>
    </row>
    <row r="78" spans="1:21" ht="30" x14ac:dyDescent="0.25">
      <c r="A78" s="46" t="s">
        <v>330</v>
      </c>
      <c r="B78" s="56" t="s">
        <v>85</v>
      </c>
      <c r="C78" s="45">
        <v>1</v>
      </c>
      <c r="D78" s="38" t="s">
        <v>331</v>
      </c>
      <c r="E78" s="24" t="s">
        <v>109</v>
      </c>
      <c r="F78" s="40" t="s">
        <v>199</v>
      </c>
      <c r="G78" s="23" t="s">
        <v>149</v>
      </c>
      <c r="H78" s="43" t="s">
        <v>136</v>
      </c>
      <c r="I78" s="50">
        <v>1</v>
      </c>
      <c r="J78" s="25">
        <v>2</v>
      </c>
      <c r="K78" s="39">
        <f t="shared" si="8"/>
        <v>2</v>
      </c>
      <c r="L78" s="94">
        <v>44529</v>
      </c>
      <c r="M78" s="25" t="s">
        <v>333</v>
      </c>
      <c r="N78" s="50">
        <v>1</v>
      </c>
      <c r="O78" s="25">
        <f t="shared" si="18"/>
        <v>2</v>
      </c>
      <c r="P78" s="39">
        <f t="shared" si="7"/>
        <v>2</v>
      </c>
      <c r="Q78" s="52" t="s">
        <v>203</v>
      </c>
      <c r="R78" s="25" t="s">
        <v>13</v>
      </c>
      <c r="S78" s="102"/>
      <c r="T78" s="94"/>
      <c r="U78" s="54"/>
    </row>
    <row r="79" spans="1:21" x14ac:dyDescent="0.25">
      <c r="A79" s="55" t="s">
        <v>74</v>
      </c>
      <c r="B79" s="56" t="s">
        <v>85</v>
      </c>
      <c r="C79" s="45">
        <v>5</v>
      </c>
      <c r="D79" s="61" t="s">
        <v>97</v>
      </c>
      <c r="E79" s="24" t="s">
        <v>109</v>
      </c>
      <c r="F79" s="40" t="s">
        <v>198</v>
      </c>
      <c r="G79" s="23" t="s">
        <v>123</v>
      </c>
      <c r="H79" s="23" t="s">
        <v>126</v>
      </c>
      <c r="I79" s="50">
        <v>2</v>
      </c>
      <c r="J79" s="25">
        <v>1</v>
      </c>
      <c r="K79" s="39">
        <f t="shared" si="8"/>
        <v>2</v>
      </c>
      <c r="L79" s="51">
        <v>44435</v>
      </c>
      <c r="M79" s="25" t="s">
        <v>125</v>
      </c>
      <c r="N79" s="50">
        <v>1</v>
      </c>
      <c r="O79" s="25">
        <f t="shared" si="6"/>
        <v>1</v>
      </c>
      <c r="P79" s="39">
        <f t="shared" si="7"/>
        <v>1</v>
      </c>
      <c r="Q79" s="52" t="s">
        <v>202</v>
      </c>
      <c r="R79" s="25" t="s">
        <v>13</v>
      </c>
      <c r="S79" s="97">
        <v>6</v>
      </c>
      <c r="T79" s="86">
        <v>44435</v>
      </c>
      <c r="U79" s="100">
        <f t="shared" si="13"/>
        <v>46625</v>
      </c>
    </row>
    <row r="80" spans="1:21" x14ac:dyDescent="0.25">
      <c r="A80" s="55" t="s">
        <v>74</v>
      </c>
      <c r="B80" s="56" t="s">
        <v>85</v>
      </c>
      <c r="C80" s="45">
        <v>5</v>
      </c>
      <c r="D80" s="61" t="s">
        <v>97</v>
      </c>
      <c r="E80" s="24" t="s">
        <v>109</v>
      </c>
      <c r="F80" s="40" t="s">
        <v>198</v>
      </c>
      <c r="G80" s="23" t="s">
        <v>116</v>
      </c>
      <c r="H80" s="23" t="s">
        <v>126</v>
      </c>
      <c r="I80" s="50">
        <v>3</v>
      </c>
      <c r="J80" s="25">
        <v>2</v>
      </c>
      <c r="K80" s="39">
        <f t="shared" si="8"/>
        <v>6</v>
      </c>
      <c r="L80" s="51">
        <v>44435</v>
      </c>
      <c r="M80" s="25" t="s">
        <v>138</v>
      </c>
      <c r="N80" s="50">
        <v>1</v>
      </c>
      <c r="O80" s="25">
        <f t="shared" si="6"/>
        <v>2</v>
      </c>
      <c r="P80" s="39">
        <f t="shared" si="7"/>
        <v>2</v>
      </c>
      <c r="Q80" s="52" t="s">
        <v>203</v>
      </c>
      <c r="R80" s="25" t="s">
        <v>13</v>
      </c>
      <c r="S80" s="102"/>
      <c r="T80" s="51"/>
      <c r="U80" s="99"/>
    </row>
    <row r="81" spans="1:21" x14ac:dyDescent="0.25">
      <c r="A81" s="55" t="s">
        <v>74</v>
      </c>
      <c r="B81" s="56" t="s">
        <v>85</v>
      </c>
      <c r="C81" s="45">
        <v>5</v>
      </c>
      <c r="D81" s="61" t="s">
        <v>97</v>
      </c>
      <c r="E81" s="24" t="s">
        <v>109</v>
      </c>
      <c r="F81" s="40" t="s">
        <v>198</v>
      </c>
      <c r="G81" s="23" t="s">
        <v>207</v>
      </c>
      <c r="H81" s="23" t="s">
        <v>126</v>
      </c>
      <c r="I81" s="50">
        <v>2</v>
      </c>
      <c r="J81" s="25">
        <v>2</v>
      </c>
      <c r="K81" s="39">
        <f t="shared" si="8"/>
        <v>4</v>
      </c>
      <c r="L81" s="51">
        <v>44435</v>
      </c>
      <c r="M81" s="25" t="s">
        <v>115</v>
      </c>
      <c r="N81" s="50">
        <v>1</v>
      </c>
      <c r="O81" s="25">
        <f t="shared" si="6"/>
        <v>2</v>
      </c>
      <c r="P81" s="39">
        <f t="shared" si="7"/>
        <v>2</v>
      </c>
      <c r="Q81" s="52" t="s">
        <v>203</v>
      </c>
      <c r="R81" s="25" t="s">
        <v>13</v>
      </c>
      <c r="S81" s="102"/>
      <c r="T81" s="51"/>
      <c r="U81" s="99"/>
    </row>
    <row r="82" spans="1:21" x14ac:dyDescent="0.25">
      <c r="A82" s="55" t="s">
        <v>74</v>
      </c>
      <c r="B82" s="56" t="s">
        <v>85</v>
      </c>
      <c r="C82" s="45">
        <v>5</v>
      </c>
      <c r="D82" s="61" t="s">
        <v>97</v>
      </c>
      <c r="E82" s="24" t="s">
        <v>109</v>
      </c>
      <c r="F82" s="40" t="s">
        <v>198</v>
      </c>
      <c r="G82" s="23" t="s">
        <v>208</v>
      </c>
      <c r="H82" s="23" t="s">
        <v>209</v>
      </c>
      <c r="I82" s="50">
        <v>2</v>
      </c>
      <c r="J82" s="25">
        <v>3</v>
      </c>
      <c r="K82" s="39">
        <f t="shared" si="8"/>
        <v>6</v>
      </c>
      <c r="L82" s="51">
        <v>44435</v>
      </c>
      <c r="M82" s="25" t="s">
        <v>157</v>
      </c>
      <c r="N82" s="50">
        <v>1</v>
      </c>
      <c r="O82" s="25">
        <f t="shared" si="6"/>
        <v>3</v>
      </c>
      <c r="P82" s="39">
        <f t="shared" si="7"/>
        <v>3</v>
      </c>
      <c r="Q82" s="52" t="s">
        <v>206</v>
      </c>
      <c r="R82" s="25" t="s">
        <v>13</v>
      </c>
      <c r="S82" s="102"/>
      <c r="T82" s="51"/>
      <c r="U82" s="99"/>
    </row>
    <row r="83" spans="1:21" x14ac:dyDescent="0.25">
      <c r="A83" s="55" t="s">
        <v>74</v>
      </c>
      <c r="B83" s="56" t="s">
        <v>85</v>
      </c>
      <c r="C83" s="45">
        <v>5</v>
      </c>
      <c r="D83" s="61" t="s">
        <v>97</v>
      </c>
      <c r="E83" s="24" t="s">
        <v>109</v>
      </c>
      <c r="F83" s="40" t="s">
        <v>198</v>
      </c>
      <c r="G83" s="23" t="s">
        <v>210</v>
      </c>
      <c r="H83" s="23" t="s">
        <v>211</v>
      </c>
      <c r="I83" s="50">
        <v>2</v>
      </c>
      <c r="J83" s="25">
        <v>3</v>
      </c>
      <c r="K83" s="39">
        <f t="shared" si="8"/>
        <v>6</v>
      </c>
      <c r="L83" s="51">
        <v>44435</v>
      </c>
      <c r="M83" s="25" t="s">
        <v>212</v>
      </c>
      <c r="N83" s="50">
        <v>1</v>
      </c>
      <c r="O83" s="25">
        <f t="shared" si="6"/>
        <v>3</v>
      </c>
      <c r="P83" s="39">
        <f t="shared" si="7"/>
        <v>3</v>
      </c>
      <c r="Q83" s="52" t="s">
        <v>205</v>
      </c>
      <c r="R83" s="25" t="s">
        <v>13</v>
      </c>
      <c r="S83" s="102"/>
      <c r="T83" s="51"/>
      <c r="U83" s="99"/>
    </row>
    <row r="84" spans="1:21" x14ac:dyDescent="0.25">
      <c r="A84" s="55" t="s">
        <v>74</v>
      </c>
      <c r="B84" s="56" t="s">
        <v>85</v>
      </c>
      <c r="C84" s="45">
        <v>5</v>
      </c>
      <c r="D84" s="61" t="s">
        <v>97</v>
      </c>
      <c r="E84" s="24" t="s">
        <v>109</v>
      </c>
      <c r="F84" s="40" t="s">
        <v>198</v>
      </c>
      <c r="G84" s="23" t="s">
        <v>213</v>
      </c>
      <c r="H84" s="23" t="s">
        <v>146</v>
      </c>
      <c r="I84" s="50">
        <v>2</v>
      </c>
      <c r="J84" s="25">
        <v>3</v>
      </c>
      <c r="K84" s="39">
        <f t="shared" si="8"/>
        <v>6</v>
      </c>
      <c r="L84" s="51">
        <v>44435</v>
      </c>
      <c r="M84" s="25" t="s">
        <v>130</v>
      </c>
      <c r="N84" s="50">
        <v>1</v>
      </c>
      <c r="O84" s="25">
        <f t="shared" si="6"/>
        <v>3</v>
      </c>
      <c r="P84" s="39">
        <f t="shared" si="7"/>
        <v>3</v>
      </c>
      <c r="Q84" s="52" t="s">
        <v>203</v>
      </c>
      <c r="R84" s="25" t="s">
        <v>13</v>
      </c>
      <c r="S84" s="102"/>
      <c r="T84" s="51"/>
      <c r="U84" s="99"/>
    </row>
    <row r="85" spans="1:21" x14ac:dyDescent="0.25">
      <c r="A85" s="55" t="s">
        <v>74</v>
      </c>
      <c r="B85" s="56" t="s">
        <v>85</v>
      </c>
      <c r="C85" s="45">
        <v>5</v>
      </c>
      <c r="D85" s="61" t="s">
        <v>97</v>
      </c>
      <c r="E85" s="24" t="s">
        <v>109</v>
      </c>
      <c r="F85" s="40" t="s">
        <v>198</v>
      </c>
      <c r="G85" s="23" t="s">
        <v>214</v>
      </c>
      <c r="H85" s="23" t="s">
        <v>215</v>
      </c>
      <c r="I85" s="50">
        <v>2</v>
      </c>
      <c r="J85" s="25">
        <v>3</v>
      </c>
      <c r="K85" s="39">
        <f t="shared" si="8"/>
        <v>6</v>
      </c>
      <c r="L85" s="51">
        <v>44435</v>
      </c>
      <c r="M85" s="25" t="s">
        <v>216</v>
      </c>
      <c r="N85" s="50">
        <v>1</v>
      </c>
      <c r="O85" s="25">
        <f t="shared" si="6"/>
        <v>3</v>
      </c>
      <c r="P85" s="39">
        <f t="shared" si="7"/>
        <v>3</v>
      </c>
      <c r="Q85" s="52" t="s">
        <v>205</v>
      </c>
      <c r="R85" s="25" t="s">
        <v>13</v>
      </c>
      <c r="S85" s="102"/>
      <c r="T85" s="51"/>
      <c r="U85" s="99"/>
    </row>
    <row r="86" spans="1:21" x14ac:dyDescent="0.25">
      <c r="A86" s="55" t="s">
        <v>75</v>
      </c>
      <c r="B86" s="56" t="s">
        <v>85</v>
      </c>
      <c r="C86" s="45">
        <v>1</v>
      </c>
      <c r="D86" s="61" t="s">
        <v>98</v>
      </c>
      <c r="E86" s="24" t="s">
        <v>109</v>
      </c>
      <c r="F86" s="40" t="s">
        <v>198</v>
      </c>
      <c r="G86" s="23" t="s">
        <v>164</v>
      </c>
      <c r="H86" s="23" t="s">
        <v>146</v>
      </c>
      <c r="I86" s="50">
        <v>2</v>
      </c>
      <c r="J86" s="25">
        <v>3</v>
      </c>
      <c r="K86" s="39">
        <f t="shared" si="8"/>
        <v>6</v>
      </c>
      <c r="L86" s="51">
        <v>44435</v>
      </c>
      <c r="M86" s="25" t="s">
        <v>130</v>
      </c>
      <c r="N86" s="50">
        <v>1</v>
      </c>
      <c r="O86" s="25">
        <f t="shared" si="6"/>
        <v>3</v>
      </c>
      <c r="P86" s="39">
        <f t="shared" si="7"/>
        <v>3</v>
      </c>
      <c r="Q86" s="52" t="s">
        <v>203</v>
      </c>
      <c r="R86" s="25" t="s">
        <v>13</v>
      </c>
      <c r="S86" s="97">
        <v>6</v>
      </c>
      <c r="T86" s="86">
        <v>44435</v>
      </c>
      <c r="U86" s="100">
        <f t="shared" si="13"/>
        <v>46625</v>
      </c>
    </row>
    <row r="87" spans="1:21" x14ac:dyDescent="0.25">
      <c r="A87" s="55" t="s">
        <v>75</v>
      </c>
      <c r="B87" s="56" t="s">
        <v>85</v>
      </c>
      <c r="C87" s="45">
        <v>1</v>
      </c>
      <c r="D87" s="61" t="s">
        <v>98</v>
      </c>
      <c r="E87" s="24" t="s">
        <v>109</v>
      </c>
      <c r="F87" s="40" t="s">
        <v>198</v>
      </c>
      <c r="G87" s="23" t="s">
        <v>165</v>
      </c>
      <c r="H87" s="23" t="s">
        <v>166</v>
      </c>
      <c r="I87" s="50">
        <v>2</v>
      </c>
      <c r="J87" s="25">
        <v>4</v>
      </c>
      <c r="K87" s="39">
        <f t="shared" si="8"/>
        <v>8</v>
      </c>
      <c r="L87" s="51">
        <v>44435</v>
      </c>
      <c r="M87" s="25" t="s">
        <v>157</v>
      </c>
      <c r="N87" s="50">
        <v>1</v>
      </c>
      <c r="O87" s="25">
        <f t="shared" si="6"/>
        <v>4</v>
      </c>
      <c r="P87" s="39">
        <f t="shared" si="7"/>
        <v>4</v>
      </c>
      <c r="Q87" s="52" t="s">
        <v>206</v>
      </c>
      <c r="R87" s="25" t="s">
        <v>13</v>
      </c>
      <c r="S87" s="102"/>
      <c r="T87" s="51"/>
      <c r="U87" s="99"/>
    </row>
    <row r="88" spans="1:21" ht="30" x14ac:dyDescent="0.25">
      <c r="A88" s="55" t="s">
        <v>75</v>
      </c>
      <c r="B88" s="56" t="s">
        <v>85</v>
      </c>
      <c r="C88" s="45">
        <v>1</v>
      </c>
      <c r="D88" s="61" t="s">
        <v>98</v>
      </c>
      <c r="E88" s="24" t="s">
        <v>109</v>
      </c>
      <c r="F88" s="40" t="s">
        <v>198</v>
      </c>
      <c r="G88" s="23" t="s">
        <v>149</v>
      </c>
      <c r="H88" s="43" t="s">
        <v>136</v>
      </c>
      <c r="I88" s="50">
        <v>2</v>
      </c>
      <c r="J88" s="25">
        <v>1</v>
      </c>
      <c r="K88" s="39">
        <f t="shared" si="8"/>
        <v>2</v>
      </c>
      <c r="L88" s="51">
        <v>44435</v>
      </c>
      <c r="M88" s="25" t="s">
        <v>137</v>
      </c>
      <c r="N88" s="50">
        <v>1</v>
      </c>
      <c r="O88" s="25">
        <f t="shared" si="6"/>
        <v>1</v>
      </c>
      <c r="P88" s="39">
        <f t="shared" si="7"/>
        <v>1</v>
      </c>
      <c r="Q88" s="52" t="s">
        <v>203</v>
      </c>
      <c r="R88" s="25" t="s">
        <v>13</v>
      </c>
      <c r="S88" s="102"/>
      <c r="T88" s="51"/>
      <c r="U88" s="99"/>
    </row>
    <row r="89" spans="1:21" x14ac:dyDescent="0.25">
      <c r="A89" s="55" t="s">
        <v>76</v>
      </c>
      <c r="B89" s="56" t="s">
        <v>85</v>
      </c>
      <c r="C89" s="45">
        <v>1</v>
      </c>
      <c r="D89" s="61" t="s">
        <v>99</v>
      </c>
      <c r="E89" s="24" t="s">
        <v>109</v>
      </c>
      <c r="F89" s="40" t="s">
        <v>198</v>
      </c>
      <c r="G89" s="23" t="s">
        <v>168</v>
      </c>
      <c r="H89" s="23" t="s">
        <v>167</v>
      </c>
      <c r="I89" s="50">
        <v>2</v>
      </c>
      <c r="J89" s="25">
        <v>4</v>
      </c>
      <c r="K89" s="39">
        <f t="shared" si="8"/>
        <v>8</v>
      </c>
      <c r="L89" s="51">
        <v>44435</v>
      </c>
      <c r="M89" s="25" t="s">
        <v>153</v>
      </c>
      <c r="N89" s="50">
        <v>1</v>
      </c>
      <c r="O89" s="25">
        <f t="shared" si="6"/>
        <v>4</v>
      </c>
      <c r="P89" s="39">
        <f t="shared" si="7"/>
        <v>4</v>
      </c>
      <c r="Q89" s="51" t="s">
        <v>206</v>
      </c>
      <c r="R89" s="25" t="s">
        <v>13</v>
      </c>
      <c r="S89" s="97">
        <v>6</v>
      </c>
      <c r="T89" s="86">
        <v>44435</v>
      </c>
      <c r="U89" s="100">
        <f t="shared" si="13"/>
        <v>46625</v>
      </c>
    </row>
    <row r="90" spans="1:21" x14ac:dyDescent="0.25">
      <c r="A90" s="55" t="s">
        <v>76</v>
      </c>
      <c r="B90" s="56" t="s">
        <v>85</v>
      </c>
      <c r="C90" s="45">
        <v>1</v>
      </c>
      <c r="D90" s="61" t="s">
        <v>99</v>
      </c>
      <c r="E90" s="24" t="s">
        <v>109</v>
      </c>
      <c r="F90" s="40" t="s">
        <v>198</v>
      </c>
      <c r="G90" s="23" t="s">
        <v>169</v>
      </c>
      <c r="H90" s="23" t="s">
        <v>170</v>
      </c>
      <c r="I90" s="50">
        <v>2</v>
      </c>
      <c r="J90" s="25">
        <v>3</v>
      </c>
      <c r="K90" s="39">
        <f t="shared" si="8"/>
        <v>6</v>
      </c>
      <c r="L90" s="51">
        <v>44435</v>
      </c>
      <c r="M90" s="25" t="s">
        <v>171</v>
      </c>
      <c r="N90" s="50">
        <v>1</v>
      </c>
      <c r="O90" s="25">
        <f t="shared" si="6"/>
        <v>3</v>
      </c>
      <c r="P90" s="39">
        <f t="shared" si="7"/>
        <v>3</v>
      </c>
      <c r="Q90" s="51" t="s">
        <v>206</v>
      </c>
      <c r="R90" s="25" t="s">
        <v>13</v>
      </c>
      <c r="S90" s="102"/>
      <c r="T90" s="51"/>
      <c r="U90" s="99"/>
    </row>
    <row r="91" spans="1:21" x14ac:dyDescent="0.25">
      <c r="A91" s="55" t="s">
        <v>76</v>
      </c>
      <c r="B91" s="56" t="s">
        <v>85</v>
      </c>
      <c r="C91" s="45">
        <v>1</v>
      </c>
      <c r="D91" s="61" t="s">
        <v>99</v>
      </c>
      <c r="E91" s="24" t="s">
        <v>109</v>
      </c>
      <c r="F91" s="40" t="s">
        <v>198</v>
      </c>
      <c r="G91" s="23" t="s">
        <v>172</v>
      </c>
      <c r="H91" s="23" t="s">
        <v>146</v>
      </c>
      <c r="I91" s="50">
        <v>2</v>
      </c>
      <c r="J91" s="25">
        <v>2</v>
      </c>
      <c r="K91" s="39">
        <f t="shared" si="8"/>
        <v>4</v>
      </c>
      <c r="L91" s="51">
        <v>44435</v>
      </c>
      <c r="M91" s="25" t="s">
        <v>130</v>
      </c>
      <c r="N91" s="50">
        <v>1</v>
      </c>
      <c r="O91" s="25">
        <f t="shared" si="6"/>
        <v>2</v>
      </c>
      <c r="P91" s="39">
        <f t="shared" si="7"/>
        <v>2</v>
      </c>
      <c r="Q91" s="51" t="s">
        <v>203</v>
      </c>
      <c r="R91" s="25" t="s">
        <v>13</v>
      </c>
      <c r="S91" s="102"/>
      <c r="T91" s="51"/>
      <c r="U91" s="99"/>
    </row>
    <row r="92" spans="1:21" x14ac:dyDescent="0.25">
      <c r="A92" s="55" t="s">
        <v>76</v>
      </c>
      <c r="B92" s="56" t="s">
        <v>85</v>
      </c>
      <c r="C92" s="45">
        <v>1</v>
      </c>
      <c r="D92" s="61" t="s">
        <v>99</v>
      </c>
      <c r="E92" s="24" t="s">
        <v>109</v>
      </c>
      <c r="F92" s="40" t="s">
        <v>198</v>
      </c>
      <c r="G92" s="23" t="s">
        <v>173</v>
      </c>
      <c r="H92" s="23" t="s">
        <v>152</v>
      </c>
      <c r="I92" s="50">
        <v>2</v>
      </c>
      <c r="J92" s="25">
        <v>2</v>
      </c>
      <c r="K92" s="39">
        <f t="shared" si="8"/>
        <v>4</v>
      </c>
      <c r="L92" s="51">
        <v>44435</v>
      </c>
      <c r="M92" s="25" t="s">
        <v>153</v>
      </c>
      <c r="N92" s="50">
        <v>1</v>
      </c>
      <c r="O92" s="25">
        <f t="shared" si="6"/>
        <v>2</v>
      </c>
      <c r="P92" s="39">
        <f t="shared" si="7"/>
        <v>2</v>
      </c>
      <c r="Q92" s="51" t="s">
        <v>206</v>
      </c>
      <c r="R92" s="25" t="s">
        <v>13</v>
      </c>
      <c r="S92" s="102"/>
      <c r="T92" s="51"/>
      <c r="U92" s="99"/>
    </row>
    <row r="93" spans="1:21" x14ac:dyDescent="0.25">
      <c r="A93" s="55" t="s">
        <v>76</v>
      </c>
      <c r="B93" s="56" t="s">
        <v>85</v>
      </c>
      <c r="C93" s="45">
        <v>1</v>
      </c>
      <c r="D93" s="61" t="s">
        <v>99</v>
      </c>
      <c r="E93" s="24" t="s">
        <v>109</v>
      </c>
      <c r="F93" s="40" t="s">
        <v>198</v>
      </c>
      <c r="G93" s="23" t="s">
        <v>174</v>
      </c>
      <c r="H93" s="23" t="s">
        <v>175</v>
      </c>
      <c r="I93" s="50">
        <v>2</v>
      </c>
      <c r="J93" s="25">
        <v>2</v>
      </c>
      <c r="K93" s="39">
        <f t="shared" si="8"/>
        <v>4</v>
      </c>
      <c r="L93" s="51">
        <v>44435</v>
      </c>
      <c r="M93" s="25" t="s">
        <v>176</v>
      </c>
      <c r="N93" s="50">
        <v>1</v>
      </c>
      <c r="O93" s="25">
        <f t="shared" si="6"/>
        <v>2</v>
      </c>
      <c r="P93" s="39">
        <f t="shared" si="7"/>
        <v>2</v>
      </c>
      <c r="Q93" s="51" t="s">
        <v>203</v>
      </c>
      <c r="R93" s="25" t="s">
        <v>13</v>
      </c>
      <c r="S93" s="102"/>
      <c r="T93" s="51"/>
      <c r="U93" s="99"/>
    </row>
    <row r="94" spans="1:21" x14ac:dyDescent="0.25">
      <c r="A94" s="55" t="s">
        <v>77</v>
      </c>
      <c r="B94" s="56" t="s">
        <v>85</v>
      </c>
      <c r="C94" s="45">
        <v>2</v>
      </c>
      <c r="D94" s="61" t="s">
        <v>100</v>
      </c>
      <c r="E94" s="24" t="s">
        <v>109</v>
      </c>
      <c r="F94" s="40" t="s">
        <v>200</v>
      </c>
      <c r="G94" s="23" t="s">
        <v>116</v>
      </c>
      <c r="H94" s="23" t="s">
        <v>126</v>
      </c>
      <c r="I94" s="50">
        <v>3</v>
      </c>
      <c r="J94" s="25">
        <v>2</v>
      </c>
      <c r="K94" s="39">
        <f t="shared" si="8"/>
        <v>6</v>
      </c>
      <c r="L94" s="51">
        <v>44435</v>
      </c>
      <c r="M94" s="25" t="s">
        <v>171</v>
      </c>
      <c r="N94" s="50">
        <v>1</v>
      </c>
      <c r="O94" s="25">
        <f t="shared" si="6"/>
        <v>2</v>
      </c>
      <c r="P94" s="39">
        <f t="shared" si="7"/>
        <v>2</v>
      </c>
      <c r="Q94" s="51" t="s">
        <v>203</v>
      </c>
      <c r="R94" s="25" t="s">
        <v>13</v>
      </c>
      <c r="S94" s="102">
        <v>12</v>
      </c>
      <c r="T94" s="51">
        <v>44435</v>
      </c>
      <c r="U94" s="99">
        <f t="shared" si="13"/>
        <v>48815</v>
      </c>
    </row>
    <row r="95" spans="1:21" x14ac:dyDescent="0.25">
      <c r="A95" s="55" t="s">
        <v>77</v>
      </c>
      <c r="B95" s="56" t="s">
        <v>85</v>
      </c>
      <c r="C95" s="45">
        <v>2</v>
      </c>
      <c r="D95" s="61" t="s">
        <v>100</v>
      </c>
      <c r="E95" s="24" t="s">
        <v>109</v>
      </c>
      <c r="F95" s="40" t="s">
        <v>200</v>
      </c>
      <c r="G95" s="23" t="s">
        <v>118</v>
      </c>
      <c r="H95" s="23" t="s">
        <v>217</v>
      </c>
      <c r="I95" s="50">
        <v>2</v>
      </c>
      <c r="J95" s="25">
        <v>3</v>
      </c>
      <c r="K95" s="39">
        <f t="shared" si="8"/>
        <v>6</v>
      </c>
      <c r="L95" s="51">
        <v>44435</v>
      </c>
      <c r="M95" s="25" t="s">
        <v>128</v>
      </c>
      <c r="N95" s="50">
        <v>2</v>
      </c>
      <c r="O95" s="25">
        <f t="shared" si="6"/>
        <v>3</v>
      </c>
      <c r="P95" s="39">
        <f t="shared" si="7"/>
        <v>6</v>
      </c>
      <c r="Q95" s="51" t="s">
        <v>204</v>
      </c>
      <c r="R95" s="25" t="s">
        <v>13</v>
      </c>
      <c r="S95" s="102"/>
      <c r="T95" s="51"/>
      <c r="U95" s="99"/>
    </row>
    <row r="96" spans="1:21" x14ac:dyDescent="0.25">
      <c r="A96" s="55" t="s">
        <v>77</v>
      </c>
      <c r="B96" s="56" t="s">
        <v>85</v>
      </c>
      <c r="C96" s="45">
        <v>2</v>
      </c>
      <c r="D96" s="61" t="s">
        <v>100</v>
      </c>
      <c r="E96" s="24" t="s">
        <v>109</v>
      </c>
      <c r="F96" s="40" t="s">
        <v>200</v>
      </c>
      <c r="G96" s="23" t="s">
        <v>207</v>
      </c>
      <c r="H96" s="23" t="s">
        <v>126</v>
      </c>
      <c r="I96" s="50">
        <v>2</v>
      </c>
      <c r="J96" s="25">
        <v>2</v>
      </c>
      <c r="K96" s="39">
        <f t="shared" si="8"/>
        <v>4</v>
      </c>
      <c r="L96" s="51">
        <v>44435</v>
      </c>
      <c r="M96" s="25" t="s">
        <v>115</v>
      </c>
      <c r="N96" s="50">
        <v>1</v>
      </c>
      <c r="O96" s="25">
        <f t="shared" si="6"/>
        <v>2</v>
      </c>
      <c r="P96" s="39">
        <f t="shared" si="7"/>
        <v>2</v>
      </c>
      <c r="Q96" s="51" t="s">
        <v>203</v>
      </c>
      <c r="R96" s="25" t="s">
        <v>13</v>
      </c>
      <c r="S96" s="102"/>
      <c r="T96" s="51"/>
      <c r="U96" s="99"/>
    </row>
    <row r="97" spans="1:21" x14ac:dyDescent="0.25">
      <c r="A97" s="55" t="s">
        <v>77</v>
      </c>
      <c r="B97" s="56" t="s">
        <v>85</v>
      </c>
      <c r="C97" s="45">
        <v>2</v>
      </c>
      <c r="D97" s="61" t="s">
        <v>100</v>
      </c>
      <c r="E97" s="24" t="s">
        <v>109</v>
      </c>
      <c r="F97" s="40" t="s">
        <v>200</v>
      </c>
      <c r="G97" s="23" t="s">
        <v>218</v>
      </c>
      <c r="H97" s="23" t="s">
        <v>219</v>
      </c>
      <c r="I97" s="50">
        <v>2</v>
      </c>
      <c r="J97" s="25">
        <v>2</v>
      </c>
      <c r="K97" s="39">
        <f t="shared" si="8"/>
        <v>4</v>
      </c>
      <c r="L97" s="51">
        <v>44435</v>
      </c>
      <c r="M97" s="25" t="s">
        <v>220</v>
      </c>
      <c r="N97" s="50">
        <v>1</v>
      </c>
      <c r="O97" s="25">
        <f t="shared" si="6"/>
        <v>2</v>
      </c>
      <c r="P97" s="39">
        <f t="shared" si="7"/>
        <v>2</v>
      </c>
      <c r="Q97" s="51" t="s">
        <v>203</v>
      </c>
      <c r="R97" s="25" t="s">
        <v>13</v>
      </c>
      <c r="S97" s="102"/>
      <c r="T97" s="51"/>
      <c r="U97" s="99"/>
    </row>
    <row r="98" spans="1:21" x14ac:dyDescent="0.25">
      <c r="A98" s="55" t="s">
        <v>77</v>
      </c>
      <c r="B98" s="56" t="s">
        <v>85</v>
      </c>
      <c r="C98" s="45">
        <v>2</v>
      </c>
      <c r="D98" s="61" t="s">
        <v>100</v>
      </c>
      <c r="E98" s="24" t="s">
        <v>109</v>
      </c>
      <c r="F98" s="40" t="s">
        <v>200</v>
      </c>
      <c r="G98" s="23" t="s">
        <v>221</v>
      </c>
      <c r="H98" s="23" t="s">
        <v>215</v>
      </c>
      <c r="I98" s="50">
        <v>2</v>
      </c>
      <c r="J98" s="25">
        <v>3</v>
      </c>
      <c r="K98" s="39">
        <f t="shared" si="8"/>
        <v>6</v>
      </c>
      <c r="L98" s="51">
        <v>44435</v>
      </c>
      <c r="M98" s="25" t="s">
        <v>216</v>
      </c>
      <c r="N98" s="50">
        <v>1</v>
      </c>
      <c r="O98" s="25">
        <f t="shared" si="6"/>
        <v>3</v>
      </c>
      <c r="P98" s="39">
        <f t="shared" si="7"/>
        <v>3</v>
      </c>
      <c r="Q98" s="51" t="s">
        <v>205</v>
      </c>
      <c r="R98" s="25" t="s">
        <v>13</v>
      </c>
      <c r="S98" s="102"/>
      <c r="T98" s="51"/>
      <c r="U98" s="99"/>
    </row>
    <row r="99" spans="1:21" x14ac:dyDescent="0.25">
      <c r="A99" s="55" t="s">
        <v>78</v>
      </c>
      <c r="B99" s="56" t="s">
        <v>85</v>
      </c>
      <c r="C99" s="45">
        <v>4</v>
      </c>
      <c r="D99" s="61" t="s">
        <v>101</v>
      </c>
      <c r="E99" s="24" t="s">
        <v>109</v>
      </c>
      <c r="F99" s="40" t="s">
        <v>198</v>
      </c>
      <c r="G99" s="23" t="s">
        <v>116</v>
      </c>
      <c r="H99" s="23" t="s">
        <v>126</v>
      </c>
      <c r="I99" s="50">
        <v>2</v>
      </c>
      <c r="J99" s="25">
        <v>3</v>
      </c>
      <c r="K99" s="39">
        <f t="shared" si="8"/>
        <v>6</v>
      </c>
      <c r="L99" s="51">
        <v>44435</v>
      </c>
      <c r="M99" s="25" t="s">
        <v>138</v>
      </c>
      <c r="N99" s="50">
        <v>1</v>
      </c>
      <c r="O99" s="25">
        <f t="shared" si="6"/>
        <v>3</v>
      </c>
      <c r="P99" s="39">
        <f t="shared" si="7"/>
        <v>3</v>
      </c>
      <c r="Q99" s="52" t="s">
        <v>203</v>
      </c>
      <c r="R99" s="25" t="s">
        <v>13</v>
      </c>
      <c r="S99" s="97">
        <v>6</v>
      </c>
      <c r="T99" s="86">
        <v>44435</v>
      </c>
      <c r="U99" s="99">
        <f t="shared" si="13"/>
        <v>46625</v>
      </c>
    </row>
    <row r="100" spans="1:21" x14ac:dyDescent="0.25">
      <c r="A100" s="55" t="s">
        <v>78</v>
      </c>
      <c r="B100" s="56" t="s">
        <v>85</v>
      </c>
      <c r="C100" s="45">
        <v>4</v>
      </c>
      <c r="D100" s="61" t="s">
        <v>101</v>
      </c>
      <c r="E100" s="24" t="s">
        <v>109</v>
      </c>
      <c r="F100" s="40" t="s">
        <v>198</v>
      </c>
      <c r="G100" s="23" t="s">
        <v>154</v>
      </c>
      <c r="H100" s="23" t="s">
        <v>126</v>
      </c>
      <c r="I100" s="50">
        <v>2</v>
      </c>
      <c r="J100" s="25">
        <v>3</v>
      </c>
      <c r="K100" s="39">
        <f t="shared" si="8"/>
        <v>6</v>
      </c>
      <c r="L100" s="51">
        <v>44435</v>
      </c>
      <c r="M100" s="25" t="s">
        <v>115</v>
      </c>
      <c r="N100" s="50">
        <v>1</v>
      </c>
      <c r="O100" s="25">
        <f t="shared" si="6"/>
        <v>3</v>
      </c>
      <c r="P100" s="39">
        <f t="shared" si="7"/>
        <v>3</v>
      </c>
      <c r="Q100" s="52" t="s">
        <v>203</v>
      </c>
      <c r="R100" s="25" t="s">
        <v>13</v>
      </c>
      <c r="S100" s="102"/>
      <c r="T100" s="51"/>
      <c r="U100" s="99"/>
    </row>
    <row r="101" spans="1:21" ht="30" x14ac:dyDescent="0.25">
      <c r="A101" s="55" t="s">
        <v>78</v>
      </c>
      <c r="B101" s="56" t="s">
        <v>85</v>
      </c>
      <c r="C101" s="45">
        <v>4</v>
      </c>
      <c r="D101" s="61" t="s">
        <v>101</v>
      </c>
      <c r="E101" s="24" t="s">
        <v>109</v>
      </c>
      <c r="F101" s="40" t="s">
        <v>198</v>
      </c>
      <c r="G101" s="23" t="s">
        <v>149</v>
      </c>
      <c r="H101" s="43" t="s">
        <v>136</v>
      </c>
      <c r="I101" s="50">
        <v>2</v>
      </c>
      <c r="J101" s="25">
        <v>1</v>
      </c>
      <c r="K101" s="39">
        <f t="shared" si="8"/>
        <v>2</v>
      </c>
      <c r="L101" s="51">
        <v>44435</v>
      </c>
      <c r="M101" s="25" t="s">
        <v>137</v>
      </c>
      <c r="N101" s="50">
        <v>1</v>
      </c>
      <c r="O101" s="25">
        <f t="shared" si="6"/>
        <v>1</v>
      </c>
      <c r="P101" s="39">
        <f t="shared" si="7"/>
        <v>1</v>
      </c>
      <c r="Q101" s="52" t="s">
        <v>203</v>
      </c>
      <c r="R101" s="25" t="s">
        <v>13</v>
      </c>
      <c r="S101" s="102"/>
      <c r="T101" s="51"/>
      <c r="U101" s="99"/>
    </row>
    <row r="102" spans="1:21" x14ac:dyDescent="0.25">
      <c r="A102" s="55" t="s">
        <v>78</v>
      </c>
      <c r="B102" s="56" t="s">
        <v>85</v>
      </c>
      <c r="C102" s="45">
        <v>4</v>
      </c>
      <c r="D102" s="61" t="s">
        <v>101</v>
      </c>
      <c r="E102" s="24" t="s">
        <v>109</v>
      </c>
      <c r="F102" s="40" t="s">
        <v>198</v>
      </c>
      <c r="G102" s="23" t="s">
        <v>177</v>
      </c>
      <c r="H102" s="23" t="s">
        <v>178</v>
      </c>
      <c r="I102" s="50">
        <v>2</v>
      </c>
      <c r="J102" s="25">
        <v>3</v>
      </c>
      <c r="K102" s="39">
        <f t="shared" si="8"/>
        <v>6</v>
      </c>
      <c r="L102" s="51">
        <v>44435</v>
      </c>
      <c r="M102" s="25" t="s">
        <v>130</v>
      </c>
      <c r="N102" s="50">
        <v>1</v>
      </c>
      <c r="O102" s="25">
        <f t="shared" si="6"/>
        <v>3</v>
      </c>
      <c r="P102" s="39">
        <f t="shared" si="7"/>
        <v>3</v>
      </c>
      <c r="Q102" s="52" t="s">
        <v>203</v>
      </c>
      <c r="R102" s="25" t="s">
        <v>13</v>
      </c>
      <c r="S102" s="102"/>
      <c r="T102" s="51"/>
      <c r="U102" s="99"/>
    </row>
    <row r="103" spans="1:21" x14ac:dyDescent="0.25">
      <c r="A103" s="46" t="s">
        <v>334</v>
      </c>
      <c r="B103" s="56" t="s">
        <v>85</v>
      </c>
      <c r="C103" s="45">
        <v>1</v>
      </c>
      <c r="D103" s="38" t="s">
        <v>335</v>
      </c>
      <c r="E103" s="24" t="s">
        <v>109</v>
      </c>
      <c r="F103" s="40" t="s">
        <v>336</v>
      </c>
      <c r="G103" s="23" t="s">
        <v>145</v>
      </c>
      <c r="H103" s="23" t="s">
        <v>339</v>
      </c>
      <c r="I103" s="50">
        <v>2</v>
      </c>
      <c r="J103" s="25">
        <v>1</v>
      </c>
      <c r="K103" s="39">
        <f t="shared" si="8"/>
        <v>2</v>
      </c>
      <c r="L103" s="93">
        <v>44529</v>
      </c>
      <c r="M103" s="25" t="s">
        <v>344</v>
      </c>
      <c r="N103" s="50">
        <v>2</v>
      </c>
      <c r="O103" s="25">
        <f t="shared" si="6"/>
        <v>1</v>
      </c>
      <c r="P103" s="39">
        <f t="shared" si="7"/>
        <v>2</v>
      </c>
      <c r="Q103" s="52" t="s">
        <v>242</v>
      </c>
      <c r="R103" s="25" t="s">
        <v>13</v>
      </c>
      <c r="S103" s="97">
        <v>12</v>
      </c>
      <c r="T103" s="103">
        <v>44529</v>
      </c>
      <c r="U103" s="99">
        <f t="shared" si="13"/>
        <v>48909</v>
      </c>
    </row>
    <row r="104" spans="1:21" x14ac:dyDescent="0.25">
      <c r="A104" s="46" t="s">
        <v>334</v>
      </c>
      <c r="B104" s="56" t="s">
        <v>85</v>
      </c>
      <c r="C104" s="45">
        <v>1</v>
      </c>
      <c r="D104" s="38" t="s">
        <v>335</v>
      </c>
      <c r="E104" s="24" t="s">
        <v>109</v>
      </c>
      <c r="F104" s="40" t="s">
        <v>336</v>
      </c>
      <c r="G104" s="23" t="s">
        <v>123</v>
      </c>
      <c r="H104" s="23" t="s">
        <v>124</v>
      </c>
      <c r="I104" s="50">
        <v>2</v>
      </c>
      <c r="J104" s="25">
        <v>1</v>
      </c>
      <c r="K104" s="39">
        <f t="shared" si="8"/>
        <v>2</v>
      </c>
      <c r="L104" s="93">
        <v>44529</v>
      </c>
      <c r="M104" s="25" t="s">
        <v>125</v>
      </c>
      <c r="N104" s="50">
        <v>1</v>
      </c>
      <c r="O104" s="25">
        <f t="shared" si="6"/>
        <v>1</v>
      </c>
      <c r="P104" s="39">
        <f t="shared" si="7"/>
        <v>1</v>
      </c>
      <c r="Q104" s="52" t="s">
        <v>202</v>
      </c>
      <c r="R104" s="25" t="s">
        <v>13</v>
      </c>
      <c r="S104" s="102"/>
      <c r="T104" s="93"/>
      <c r="U104" s="99"/>
    </row>
    <row r="105" spans="1:21" x14ac:dyDescent="0.25">
      <c r="A105" s="46" t="s">
        <v>334</v>
      </c>
      <c r="B105" s="56" t="s">
        <v>85</v>
      </c>
      <c r="C105" s="45">
        <v>1</v>
      </c>
      <c r="D105" s="38" t="s">
        <v>335</v>
      </c>
      <c r="E105" s="24" t="s">
        <v>109</v>
      </c>
      <c r="F105" s="40" t="s">
        <v>336</v>
      </c>
      <c r="G105" s="23" t="s">
        <v>327</v>
      </c>
      <c r="H105" s="23" t="s">
        <v>126</v>
      </c>
      <c r="I105" s="50">
        <v>2</v>
      </c>
      <c r="J105" s="25">
        <v>2</v>
      </c>
      <c r="K105" s="39">
        <f t="shared" si="8"/>
        <v>4</v>
      </c>
      <c r="L105" s="93">
        <v>44529</v>
      </c>
      <c r="M105" s="25" t="s">
        <v>115</v>
      </c>
      <c r="N105" s="50">
        <v>1</v>
      </c>
      <c r="O105" s="25">
        <f t="shared" si="6"/>
        <v>2</v>
      </c>
      <c r="P105" s="39">
        <f t="shared" si="7"/>
        <v>2</v>
      </c>
      <c r="Q105" s="52" t="s">
        <v>202</v>
      </c>
      <c r="R105" s="25" t="s">
        <v>13</v>
      </c>
      <c r="S105" s="102"/>
      <c r="T105" s="93"/>
      <c r="U105" s="99"/>
    </row>
    <row r="106" spans="1:21" x14ac:dyDescent="0.25">
      <c r="A106" s="46" t="s">
        <v>334</v>
      </c>
      <c r="B106" s="56" t="s">
        <v>85</v>
      </c>
      <c r="C106" s="45">
        <v>1</v>
      </c>
      <c r="D106" s="38" t="s">
        <v>335</v>
      </c>
      <c r="E106" s="24" t="s">
        <v>109</v>
      </c>
      <c r="F106" s="40" t="s">
        <v>336</v>
      </c>
      <c r="G106" s="23" t="s">
        <v>337</v>
      </c>
      <c r="H106" s="23" t="s">
        <v>340</v>
      </c>
      <c r="I106" s="50">
        <v>2</v>
      </c>
      <c r="J106" s="25">
        <v>2</v>
      </c>
      <c r="K106" s="39">
        <f t="shared" si="8"/>
        <v>4</v>
      </c>
      <c r="L106" s="93">
        <v>44529</v>
      </c>
      <c r="M106" s="25" t="s">
        <v>342</v>
      </c>
      <c r="N106" s="50">
        <v>1</v>
      </c>
      <c r="O106" s="25">
        <f t="shared" si="6"/>
        <v>2</v>
      </c>
      <c r="P106" s="39">
        <f t="shared" si="7"/>
        <v>2</v>
      </c>
      <c r="Q106" s="52" t="s">
        <v>203</v>
      </c>
      <c r="R106" s="25" t="s">
        <v>13</v>
      </c>
      <c r="S106" s="102"/>
      <c r="T106" s="93"/>
      <c r="U106" s="99"/>
    </row>
    <row r="107" spans="1:21" x14ac:dyDescent="0.25">
      <c r="A107" s="46" t="s">
        <v>334</v>
      </c>
      <c r="B107" s="56" t="s">
        <v>85</v>
      </c>
      <c r="C107" s="45">
        <v>1</v>
      </c>
      <c r="D107" s="38" t="s">
        <v>335</v>
      </c>
      <c r="E107" s="24" t="s">
        <v>109</v>
      </c>
      <c r="F107" s="40" t="s">
        <v>336</v>
      </c>
      <c r="G107" s="23" t="s">
        <v>278</v>
      </c>
      <c r="H107" s="23" t="s">
        <v>285</v>
      </c>
      <c r="I107" s="50">
        <v>2</v>
      </c>
      <c r="J107" s="25">
        <v>1</v>
      </c>
      <c r="K107" s="39">
        <f t="shared" si="8"/>
        <v>2</v>
      </c>
      <c r="L107" s="93">
        <v>44529</v>
      </c>
      <c r="M107" s="25" t="s">
        <v>289</v>
      </c>
      <c r="N107" s="50">
        <v>1</v>
      </c>
      <c r="O107" s="25">
        <f t="shared" si="6"/>
        <v>1</v>
      </c>
      <c r="P107" s="39">
        <f t="shared" si="7"/>
        <v>1</v>
      </c>
      <c r="Q107" s="52" t="s">
        <v>202</v>
      </c>
      <c r="R107" s="25" t="s">
        <v>13</v>
      </c>
      <c r="S107" s="102"/>
      <c r="T107" s="93"/>
      <c r="U107" s="99"/>
    </row>
    <row r="108" spans="1:21" x14ac:dyDescent="0.25">
      <c r="A108" s="46" t="s">
        <v>334</v>
      </c>
      <c r="B108" s="56" t="s">
        <v>85</v>
      </c>
      <c r="C108" s="45">
        <v>1</v>
      </c>
      <c r="D108" s="38" t="s">
        <v>335</v>
      </c>
      <c r="E108" s="24" t="s">
        <v>109</v>
      </c>
      <c r="F108" s="40" t="s">
        <v>336</v>
      </c>
      <c r="G108" s="23" t="s">
        <v>338</v>
      </c>
      <c r="H108" s="23" t="s">
        <v>341</v>
      </c>
      <c r="I108" s="50">
        <v>1</v>
      </c>
      <c r="J108" s="25">
        <v>2</v>
      </c>
      <c r="K108" s="39">
        <f t="shared" si="8"/>
        <v>2</v>
      </c>
      <c r="L108" s="93">
        <v>44529</v>
      </c>
      <c r="M108" s="25" t="s">
        <v>343</v>
      </c>
      <c r="N108" s="50">
        <v>1</v>
      </c>
      <c r="O108" s="25">
        <f t="shared" si="6"/>
        <v>2</v>
      </c>
      <c r="P108" s="39">
        <f t="shared" si="7"/>
        <v>2</v>
      </c>
      <c r="Q108" s="52" t="s">
        <v>205</v>
      </c>
      <c r="R108" s="25" t="s">
        <v>13</v>
      </c>
      <c r="S108" s="102"/>
      <c r="T108" s="93"/>
      <c r="U108" s="99"/>
    </row>
    <row r="109" spans="1:21" ht="30" x14ac:dyDescent="0.25">
      <c r="A109" s="55" t="s">
        <v>79</v>
      </c>
      <c r="B109" s="56" t="s">
        <v>85</v>
      </c>
      <c r="C109" s="45">
        <v>2</v>
      </c>
      <c r="D109" s="61" t="s">
        <v>102</v>
      </c>
      <c r="E109" s="24" t="s">
        <v>109</v>
      </c>
      <c r="F109" s="40" t="s">
        <v>198</v>
      </c>
      <c r="G109" s="23" t="s">
        <v>123</v>
      </c>
      <c r="H109" s="23" t="s">
        <v>126</v>
      </c>
      <c r="I109" s="50">
        <v>2</v>
      </c>
      <c r="J109" s="25">
        <v>1</v>
      </c>
      <c r="K109" s="39">
        <f t="shared" si="8"/>
        <v>2</v>
      </c>
      <c r="L109" s="51">
        <v>44435</v>
      </c>
      <c r="M109" s="25" t="s">
        <v>125</v>
      </c>
      <c r="N109" s="50">
        <v>1</v>
      </c>
      <c r="O109" s="25">
        <f t="shared" si="6"/>
        <v>1</v>
      </c>
      <c r="P109" s="39">
        <f t="shared" si="7"/>
        <v>1</v>
      </c>
      <c r="Q109" s="53" t="s">
        <v>202</v>
      </c>
      <c r="R109" s="25" t="s">
        <v>13</v>
      </c>
      <c r="S109" s="97">
        <v>6</v>
      </c>
      <c r="T109" s="120">
        <v>44435</v>
      </c>
      <c r="U109" s="99">
        <f t="shared" ref="U109:U151" si="19">T109+(S109*365)</f>
        <v>46625</v>
      </c>
    </row>
    <row r="110" spans="1:21" ht="30" x14ac:dyDescent="0.25">
      <c r="A110" s="55" t="s">
        <v>79</v>
      </c>
      <c r="B110" s="56" t="s">
        <v>85</v>
      </c>
      <c r="C110" s="45">
        <v>2</v>
      </c>
      <c r="D110" s="61" t="s">
        <v>102</v>
      </c>
      <c r="E110" s="24" t="s">
        <v>109</v>
      </c>
      <c r="F110" s="40" t="s">
        <v>198</v>
      </c>
      <c r="G110" s="23" t="s">
        <v>140</v>
      </c>
      <c r="H110" s="23" t="s">
        <v>126</v>
      </c>
      <c r="I110" s="50">
        <v>2</v>
      </c>
      <c r="J110" s="25">
        <v>2</v>
      </c>
      <c r="K110" s="39">
        <f t="shared" si="8"/>
        <v>4</v>
      </c>
      <c r="L110" s="51">
        <v>44435</v>
      </c>
      <c r="M110" s="25" t="s">
        <v>115</v>
      </c>
      <c r="N110" s="50">
        <v>1</v>
      </c>
      <c r="O110" s="25">
        <f t="shared" si="6"/>
        <v>2</v>
      </c>
      <c r="P110" s="39">
        <f t="shared" si="7"/>
        <v>2</v>
      </c>
      <c r="Q110" s="53" t="s">
        <v>203</v>
      </c>
      <c r="R110" s="25" t="s">
        <v>13</v>
      </c>
      <c r="S110" s="102"/>
      <c r="T110" s="51"/>
      <c r="U110" s="99"/>
    </row>
    <row r="111" spans="1:21" ht="30" x14ac:dyDescent="0.25">
      <c r="A111" s="55" t="s">
        <v>79</v>
      </c>
      <c r="B111" s="56" t="s">
        <v>85</v>
      </c>
      <c r="C111" s="45">
        <v>2</v>
      </c>
      <c r="D111" s="61" t="s">
        <v>102</v>
      </c>
      <c r="E111" s="24" t="s">
        <v>109</v>
      </c>
      <c r="F111" s="40" t="s">
        <v>198</v>
      </c>
      <c r="G111" s="23" t="s">
        <v>116</v>
      </c>
      <c r="H111" s="23" t="s">
        <v>126</v>
      </c>
      <c r="I111" s="50">
        <v>2</v>
      </c>
      <c r="J111" s="25">
        <v>2</v>
      </c>
      <c r="K111" s="39">
        <f t="shared" si="8"/>
        <v>4</v>
      </c>
      <c r="L111" s="51">
        <v>44435</v>
      </c>
      <c r="M111" s="25" t="s">
        <v>138</v>
      </c>
      <c r="N111" s="50">
        <v>1</v>
      </c>
      <c r="O111" s="25">
        <f t="shared" si="6"/>
        <v>2</v>
      </c>
      <c r="P111" s="39">
        <f t="shared" si="7"/>
        <v>2</v>
      </c>
      <c r="Q111" s="53" t="s">
        <v>203</v>
      </c>
      <c r="R111" s="25" t="s">
        <v>13</v>
      </c>
      <c r="S111" s="102"/>
      <c r="T111" s="51"/>
      <c r="U111" s="99"/>
    </row>
    <row r="112" spans="1:21" ht="30" x14ac:dyDescent="0.25">
      <c r="A112" s="55" t="s">
        <v>79</v>
      </c>
      <c r="B112" s="56" t="s">
        <v>85</v>
      </c>
      <c r="C112" s="45">
        <v>2</v>
      </c>
      <c r="D112" s="61" t="s">
        <v>102</v>
      </c>
      <c r="E112" s="24" t="s">
        <v>109</v>
      </c>
      <c r="F112" s="40" t="s">
        <v>198</v>
      </c>
      <c r="G112" s="23" t="s">
        <v>179</v>
      </c>
      <c r="H112" s="23" t="s">
        <v>180</v>
      </c>
      <c r="I112" s="50">
        <v>2</v>
      </c>
      <c r="J112" s="25">
        <v>3</v>
      </c>
      <c r="K112" s="39">
        <f t="shared" si="8"/>
        <v>6</v>
      </c>
      <c r="L112" s="51">
        <v>44435</v>
      </c>
      <c r="M112" s="25" t="s">
        <v>157</v>
      </c>
      <c r="N112" s="50">
        <v>1</v>
      </c>
      <c r="O112" s="25">
        <f t="shared" si="6"/>
        <v>3</v>
      </c>
      <c r="P112" s="39">
        <f t="shared" si="7"/>
        <v>3</v>
      </c>
      <c r="Q112" s="53" t="s">
        <v>206</v>
      </c>
      <c r="R112" s="25" t="s">
        <v>13</v>
      </c>
      <c r="S112" s="102"/>
      <c r="T112" s="51"/>
      <c r="U112" s="99"/>
    </row>
    <row r="113" spans="1:21" ht="30" x14ac:dyDescent="0.25">
      <c r="A113" s="55" t="s">
        <v>79</v>
      </c>
      <c r="B113" s="56" t="s">
        <v>85</v>
      </c>
      <c r="C113" s="45">
        <v>2</v>
      </c>
      <c r="D113" s="61" t="s">
        <v>102</v>
      </c>
      <c r="E113" s="24" t="s">
        <v>109</v>
      </c>
      <c r="F113" s="40" t="s">
        <v>198</v>
      </c>
      <c r="G113" s="23" t="s">
        <v>145</v>
      </c>
      <c r="H113" s="23" t="s">
        <v>178</v>
      </c>
      <c r="I113" s="50">
        <v>2</v>
      </c>
      <c r="J113" s="25">
        <v>3</v>
      </c>
      <c r="K113" s="39">
        <f t="shared" si="8"/>
        <v>6</v>
      </c>
      <c r="L113" s="51">
        <v>44435</v>
      </c>
      <c r="M113" s="25" t="s">
        <v>130</v>
      </c>
      <c r="N113" s="50">
        <v>1</v>
      </c>
      <c r="O113" s="25">
        <f t="shared" si="6"/>
        <v>3</v>
      </c>
      <c r="P113" s="39">
        <f t="shared" si="7"/>
        <v>3</v>
      </c>
      <c r="Q113" s="53" t="s">
        <v>203</v>
      </c>
      <c r="R113" s="25" t="s">
        <v>13</v>
      </c>
      <c r="S113" s="102"/>
      <c r="T113" s="51"/>
      <c r="U113" s="99"/>
    </row>
    <row r="114" spans="1:21" x14ac:dyDescent="0.25">
      <c r="A114" s="55" t="s">
        <v>80</v>
      </c>
      <c r="B114" s="56" t="s">
        <v>85</v>
      </c>
      <c r="C114" s="45">
        <v>1</v>
      </c>
      <c r="D114" s="61" t="s">
        <v>103</v>
      </c>
      <c r="E114" s="24" t="s">
        <v>109</v>
      </c>
      <c r="F114" s="40" t="s">
        <v>200</v>
      </c>
      <c r="G114" s="23" t="s">
        <v>181</v>
      </c>
      <c r="H114" s="23" t="s">
        <v>182</v>
      </c>
      <c r="I114" s="50">
        <v>2</v>
      </c>
      <c r="J114" s="25">
        <v>3</v>
      </c>
      <c r="K114" s="39">
        <f t="shared" si="8"/>
        <v>6</v>
      </c>
      <c r="L114" s="51">
        <v>44435</v>
      </c>
      <c r="M114" s="25" t="s">
        <v>183</v>
      </c>
      <c r="N114" s="50">
        <v>1</v>
      </c>
      <c r="O114" s="25">
        <f t="shared" si="6"/>
        <v>3</v>
      </c>
      <c r="P114" s="39">
        <f t="shared" si="7"/>
        <v>3</v>
      </c>
      <c r="Q114" s="53" t="s">
        <v>206</v>
      </c>
      <c r="R114" s="25" t="s">
        <v>13</v>
      </c>
      <c r="S114" s="97">
        <v>12</v>
      </c>
      <c r="T114" s="86">
        <v>44435</v>
      </c>
      <c r="U114" s="99">
        <f t="shared" si="19"/>
        <v>48815</v>
      </c>
    </row>
    <row r="115" spans="1:21" x14ac:dyDescent="0.25">
      <c r="A115" s="55" t="s">
        <v>80</v>
      </c>
      <c r="B115" s="56" t="s">
        <v>85</v>
      </c>
      <c r="C115" s="45">
        <v>1</v>
      </c>
      <c r="D115" s="61" t="s">
        <v>103</v>
      </c>
      <c r="E115" s="24" t="s">
        <v>109</v>
      </c>
      <c r="F115" s="40" t="s">
        <v>200</v>
      </c>
      <c r="G115" s="23" t="s">
        <v>145</v>
      </c>
      <c r="H115" s="23" t="s">
        <v>178</v>
      </c>
      <c r="I115" s="50">
        <v>2</v>
      </c>
      <c r="J115" s="25">
        <v>2</v>
      </c>
      <c r="K115" s="39">
        <f t="shared" si="8"/>
        <v>4</v>
      </c>
      <c r="L115" s="51">
        <v>44435</v>
      </c>
      <c r="M115" s="25" t="s">
        <v>130</v>
      </c>
      <c r="N115" s="50">
        <v>1</v>
      </c>
      <c r="O115" s="25">
        <f t="shared" si="6"/>
        <v>2</v>
      </c>
      <c r="P115" s="39">
        <f t="shared" si="7"/>
        <v>2</v>
      </c>
      <c r="Q115" s="53" t="s">
        <v>203</v>
      </c>
      <c r="R115" s="25" t="s">
        <v>13</v>
      </c>
      <c r="S115" s="102"/>
      <c r="T115" s="51"/>
      <c r="U115" s="99"/>
    </row>
    <row r="116" spans="1:21" x14ac:dyDescent="0.25">
      <c r="A116" s="55" t="s">
        <v>81</v>
      </c>
      <c r="B116" s="56" t="s">
        <v>85</v>
      </c>
      <c r="C116" s="45">
        <v>1</v>
      </c>
      <c r="D116" s="61" t="s">
        <v>104</v>
      </c>
      <c r="E116" s="24" t="s">
        <v>109</v>
      </c>
      <c r="F116" s="40" t="s">
        <v>199</v>
      </c>
      <c r="G116" s="23" t="s">
        <v>123</v>
      </c>
      <c r="H116" s="23" t="s">
        <v>126</v>
      </c>
      <c r="I116" s="50">
        <v>2</v>
      </c>
      <c r="J116" s="25">
        <v>1</v>
      </c>
      <c r="K116" s="39">
        <f t="shared" si="8"/>
        <v>2</v>
      </c>
      <c r="L116" s="51">
        <v>44435</v>
      </c>
      <c r="M116" s="25" t="s">
        <v>125</v>
      </c>
      <c r="N116" s="50">
        <v>1</v>
      </c>
      <c r="O116" s="25">
        <f t="shared" si="6"/>
        <v>1</v>
      </c>
      <c r="P116" s="39">
        <f t="shared" si="7"/>
        <v>1</v>
      </c>
      <c r="Q116" s="53" t="s">
        <v>203</v>
      </c>
      <c r="R116" s="25" t="s">
        <v>13</v>
      </c>
      <c r="S116" s="102">
        <v>12</v>
      </c>
      <c r="T116" s="51">
        <v>44435</v>
      </c>
      <c r="U116" s="99">
        <f t="shared" si="19"/>
        <v>48815</v>
      </c>
    </row>
    <row r="117" spans="1:21" x14ac:dyDescent="0.25">
      <c r="A117" s="55" t="s">
        <v>81</v>
      </c>
      <c r="B117" s="56" t="s">
        <v>85</v>
      </c>
      <c r="C117" s="45">
        <v>1</v>
      </c>
      <c r="D117" s="61" t="s">
        <v>104</v>
      </c>
      <c r="E117" s="24" t="s">
        <v>109</v>
      </c>
      <c r="F117" s="40" t="s">
        <v>199</v>
      </c>
      <c r="G117" s="23" t="s">
        <v>222</v>
      </c>
      <c r="H117" s="23" t="s">
        <v>126</v>
      </c>
      <c r="I117" s="50">
        <v>2</v>
      </c>
      <c r="J117" s="25">
        <v>2</v>
      </c>
      <c r="K117" s="39">
        <f t="shared" si="8"/>
        <v>4</v>
      </c>
      <c r="L117" s="51">
        <v>44435</v>
      </c>
      <c r="M117" s="25" t="s">
        <v>115</v>
      </c>
      <c r="N117" s="50">
        <v>1</v>
      </c>
      <c r="O117" s="25">
        <f t="shared" si="6"/>
        <v>2</v>
      </c>
      <c r="P117" s="39">
        <f t="shared" si="7"/>
        <v>2</v>
      </c>
      <c r="Q117" s="53" t="s">
        <v>203</v>
      </c>
      <c r="R117" s="25" t="s">
        <v>13</v>
      </c>
      <c r="S117" s="102"/>
      <c r="T117" s="51"/>
      <c r="U117" s="99"/>
    </row>
    <row r="118" spans="1:21" x14ac:dyDescent="0.25">
      <c r="A118" s="55" t="s">
        <v>81</v>
      </c>
      <c r="B118" s="56" t="s">
        <v>85</v>
      </c>
      <c r="C118" s="45">
        <v>1</v>
      </c>
      <c r="D118" s="61" t="s">
        <v>104</v>
      </c>
      <c r="E118" s="24" t="s">
        <v>109</v>
      </c>
      <c r="F118" s="40" t="s">
        <v>199</v>
      </c>
      <c r="G118" s="23" t="s">
        <v>116</v>
      </c>
      <c r="H118" s="23" t="s">
        <v>126</v>
      </c>
      <c r="I118" s="50">
        <v>3</v>
      </c>
      <c r="J118" s="25">
        <v>2</v>
      </c>
      <c r="K118" s="39">
        <f t="shared" si="8"/>
        <v>6</v>
      </c>
      <c r="L118" s="51">
        <v>44435</v>
      </c>
      <c r="M118" s="25" t="s">
        <v>138</v>
      </c>
      <c r="N118" s="50">
        <v>1</v>
      </c>
      <c r="O118" s="25">
        <f t="shared" si="6"/>
        <v>2</v>
      </c>
      <c r="P118" s="39">
        <f t="shared" si="7"/>
        <v>2</v>
      </c>
      <c r="Q118" s="53" t="s">
        <v>203</v>
      </c>
      <c r="R118" s="25" t="s">
        <v>13</v>
      </c>
      <c r="S118" s="102"/>
      <c r="T118" s="51"/>
      <c r="U118" s="99"/>
    </row>
    <row r="119" spans="1:21" x14ac:dyDescent="0.25">
      <c r="A119" s="55" t="s">
        <v>82</v>
      </c>
      <c r="B119" s="56" t="s">
        <v>85</v>
      </c>
      <c r="C119" s="45">
        <v>2</v>
      </c>
      <c r="D119" s="61" t="s">
        <v>105</v>
      </c>
      <c r="E119" s="24" t="s">
        <v>109</v>
      </c>
      <c r="F119" s="40" t="s">
        <v>198</v>
      </c>
      <c r="G119" s="25" t="s">
        <v>116</v>
      </c>
      <c r="H119" s="25" t="s">
        <v>126</v>
      </c>
      <c r="I119" s="50">
        <v>2</v>
      </c>
      <c r="J119" s="25">
        <v>2</v>
      </c>
      <c r="K119" s="39">
        <f t="shared" si="8"/>
        <v>4</v>
      </c>
      <c r="L119" s="51">
        <v>44435</v>
      </c>
      <c r="M119" s="25" t="s">
        <v>138</v>
      </c>
      <c r="N119" s="50">
        <v>1</v>
      </c>
      <c r="O119" s="25">
        <f t="shared" si="6"/>
        <v>2</v>
      </c>
      <c r="P119" s="39">
        <f t="shared" si="7"/>
        <v>2</v>
      </c>
      <c r="Q119" s="53" t="s">
        <v>203</v>
      </c>
      <c r="R119" s="25" t="s">
        <v>13</v>
      </c>
      <c r="S119" s="97">
        <v>6</v>
      </c>
      <c r="T119" s="86">
        <v>44435</v>
      </c>
      <c r="U119" s="99">
        <f t="shared" si="19"/>
        <v>46625</v>
      </c>
    </row>
    <row r="120" spans="1:21" x14ac:dyDescent="0.25">
      <c r="A120" s="55" t="s">
        <v>82</v>
      </c>
      <c r="B120" s="56" t="s">
        <v>85</v>
      </c>
      <c r="C120" s="45">
        <v>2</v>
      </c>
      <c r="D120" s="61" t="s">
        <v>105</v>
      </c>
      <c r="E120" s="24" t="s">
        <v>109</v>
      </c>
      <c r="F120" s="40" t="s">
        <v>198</v>
      </c>
      <c r="G120" s="25" t="s">
        <v>184</v>
      </c>
      <c r="H120" s="25" t="s">
        <v>126</v>
      </c>
      <c r="I120" s="50">
        <v>2</v>
      </c>
      <c r="J120" s="25">
        <v>2</v>
      </c>
      <c r="K120" s="39">
        <f t="shared" si="8"/>
        <v>4</v>
      </c>
      <c r="L120" s="51">
        <v>44435</v>
      </c>
      <c r="M120" s="25" t="s">
        <v>115</v>
      </c>
      <c r="N120" s="50">
        <v>1</v>
      </c>
      <c r="O120" s="25">
        <f t="shared" si="6"/>
        <v>2</v>
      </c>
      <c r="P120" s="39">
        <f t="shared" si="7"/>
        <v>2</v>
      </c>
      <c r="Q120" s="53" t="s">
        <v>203</v>
      </c>
      <c r="R120" s="25" t="s">
        <v>13</v>
      </c>
      <c r="S120" s="102"/>
      <c r="T120" s="51"/>
      <c r="U120" s="99"/>
    </row>
    <row r="121" spans="1:21" x14ac:dyDescent="0.25">
      <c r="A121" s="55" t="s">
        <v>82</v>
      </c>
      <c r="B121" s="56" t="s">
        <v>85</v>
      </c>
      <c r="C121" s="45">
        <v>2</v>
      </c>
      <c r="D121" s="61" t="s">
        <v>105</v>
      </c>
      <c r="E121" s="24" t="s">
        <v>109</v>
      </c>
      <c r="F121" s="40" t="s">
        <v>198</v>
      </c>
      <c r="G121" s="25" t="s">
        <v>185</v>
      </c>
      <c r="H121" s="25" t="s">
        <v>186</v>
      </c>
      <c r="I121" s="50">
        <v>2</v>
      </c>
      <c r="J121" s="25">
        <v>3</v>
      </c>
      <c r="K121" s="39">
        <f t="shared" si="8"/>
        <v>6</v>
      </c>
      <c r="L121" s="51">
        <v>44435</v>
      </c>
      <c r="M121" s="25" t="s">
        <v>187</v>
      </c>
      <c r="N121" s="50">
        <v>2</v>
      </c>
      <c r="O121" s="25">
        <f t="shared" si="6"/>
        <v>3</v>
      </c>
      <c r="P121" s="39">
        <f t="shared" si="7"/>
        <v>6</v>
      </c>
      <c r="Q121" s="53" t="s">
        <v>204</v>
      </c>
      <c r="R121" s="25" t="s">
        <v>13</v>
      </c>
      <c r="S121" s="102"/>
      <c r="T121" s="51"/>
      <c r="U121" s="99"/>
    </row>
    <row r="122" spans="1:21" x14ac:dyDescent="0.25">
      <c r="A122" s="55" t="s">
        <v>82</v>
      </c>
      <c r="B122" s="56" t="s">
        <v>85</v>
      </c>
      <c r="C122" s="45">
        <v>2</v>
      </c>
      <c r="D122" s="61" t="s">
        <v>105</v>
      </c>
      <c r="E122" s="24" t="s">
        <v>109</v>
      </c>
      <c r="F122" s="40" t="s">
        <v>198</v>
      </c>
      <c r="G122" s="25" t="s">
        <v>145</v>
      </c>
      <c r="H122" s="25" t="s">
        <v>178</v>
      </c>
      <c r="I122" s="50">
        <v>2</v>
      </c>
      <c r="J122" s="25">
        <v>2</v>
      </c>
      <c r="K122" s="39">
        <f t="shared" si="8"/>
        <v>4</v>
      </c>
      <c r="L122" s="51">
        <v>44435</v>
      </c>
      <c r="M122" s="25" t="s">
        <v>130</v>
      </c>
      <c r="N122" s="50">
        <v>1</v>
      </c>
      <c r="O122" s="25">
        <f t="shared" si="6"/>
        <v>2</v>
      </c>
      <c r="P122" s="39">
        <f t="shared" si="7"/>
        <v>2</v>
      </c>
      <c r="Q122" s="53" t="s">
        <v>203</v>
      </c>
      <c r="R122" s="25" t="s">
        <v>13</v>
      </c>
      <c r="S122" s="102"/>
      <c r="T122" s="51"/>
      <c r="U122" s="99"/>
    </row>
    <row r="123" spans="1:21" x14ac:dyDescent="0.25">
      <c r="A123" s="55" t="s">
        <v>82</v>
      </c>
      <c r="B123" s="56" t="s">
        <v>85</v>
      </c>
      <c r="C123" s="45">
        <v>2</v>
      </c>
      <c r="D123" s="61" t="s">
        <v>105</v>
      </c>
      <c r="E123" s="24" t="s">
        <v>109</v>
      </c>
      <c r="F123" s="40" t="s">
        <v>198</v>
      </c>
      <c r="G123" s="25" t="s">
        <v>188</v>
      </c>
      <c r="H123" s="25" t="s">
        <v>178</v>
      </c>
      <c r="I123" s="50">
        <v>2</v>
      </c>
      <c r="J123" s="25">
        <v>2</v>
      </c>
      <c r="K123" s="39">
        <f t="shared" si="8"/>
        <v>4</v>
      </c>
      <c r="L123" s="51">
        <v>44435</v>
      </c>
      <c r="M123" s="25" t="s">
        <v>189</v>
      </c>
      <c r="N123" s="50">
        <v>1</v>
      </c>
      <c r="O123" s="25">
        <f t="shared" si="6"/>
        <v>2</v>
      </c>
      <c r="P123" s="39">
        <f t="shared" si="7"/>
        <v>2</v>
      </c>
      <c r="Q123" s="53" t="s">
        <v>204</v>
      </c>
      <c r="R123" s="25" t="s">
        <v>13</v>
      </c>
      <c r="S123" s="102"/>
      <c r="T123" s="51"/>
      <c r="U123" s="99"/>
    </row>
    <row r="124" spans="1:21" x14ac:dyDescent="0.25">
      <c r="A124" s="55" t="s">
        <v>82</v>
      </c>
      <c r="B124" s="56" t="s">
        <v>85</v>
      </c>
      <c r="C124" s="45">
        <v>2</v>
      </c>
      <c r="D124" s="61" t="s">
        <v>105</v>
      </c>
      <c r="E124" s="24" t="s">
        <v>109</v>
      </c>
      <c r="F124" s="40" t="s">
        <v>198</v>
      </c>
      <c r="G124" s="25" t="s">
        <v>190</v>
      </c>
      <c r="H124" s="25" t="s">
        <v>152</v>
      </c>
      <c r="I124" s="50">
        <v>2</v>
      </c>
      <c r="J124" s="25">
        <v>2</v>
      </c>
      <c r="K124" s="39">
        <f t="shared" si="8"/>
        <v>4</v>
      </c>
      <c r="L124" s="51">
        <v>44435</v>
      </c>
      <c r="M124" s="25" t="s">
        <v>153</v>
      </c>
      <c r="N124" s="50">
        <v>1</v>
      </c>
      <c r="O124" s="25">
        <f t="shared" si="6"/>
        <v>2</v>
      </c>
      <c r="P124" s="39">
        <f t="shared" si="7"/>
        <v>2</v>
      </c>
      <c r="Q124" s="53" t="s">
        <v>206</v>
      </c>
      <c r="R124" s="25" t="s">
        <v>13</v>
      </c>
      <c r="S124" s="102"/>
      <c r="T124" s="51"/>
      <c r="U124" s="99"/>
    </row>
    <row r="125" spans="1:21" x14ac:dyDescent="0.25">
      <c r="A125" s="55" t="s">
        <v>83</v>
      </c>
      <c r="B125" s="62" t="s">
        <v>84</v>
      </c>
      <c r="C125" s="48">
        <v>1</v>
      </c>
      <c r="D125" s="61" t="s">
        <v>106</v>
      </c>
      <c r="E125" s="24" t="s">
        <v>112</v>
      </c>
      <c r="F125" s="40" t="s">
        <v>197</v>
      </c>
      <c r="G125" s="25" t="s">
        <v>191</v>
      </c>
      <c r="H125" s="25" t="s">
        <v>192</v>
      </c>
      <c r="I125" s="50">
        <v>3</v>
      </c>
      <c r="J125" s="25">
        <v>2</v>
      </c>
      <c r="K125" s="39">
        <f t="shared" si="8"/>
        <v>6</v>
      </c>
      <c r="L125" s="51">
        <v>44435</v>
      </c>
      <c r="M125" s="25" t="s">
        <v>193</v>
      </c>
      <c r="N125" s="50">
        <v>1</v>
      </c>
      <c r="O125" s="25">
        <f t="shared" si="6"/>
        <v>2</v>
      </c>
      <c r="P125" s="39">
        <f t="shared" si="7"/>
        <v>2</v>
      </c>
      <c r="Q125" s="53" t="s">
        <v>206</v>
      </c>
      <c r="R125" s="25" t="s">
        <v>13</v>
      </c>
      <c r="S125" s="97">
        <v>6</v>
      </c>
      <c r="T125" s="86">
        <v>44435</v>
      </c>
      <c r="U125" s="54">
        <f t="shared" si="19"/>
        <v>46625</v>
      </c>
    </row>
    <row r="126" spans="1:21" x14ac:dyDescent="0.25">
      <c r="A126" s="55" t="s">
        <v>83</v>
      </c>
      <c r="B126" s="62" t="s">
        <v>84</v>
      </c>
      <c r="C126" s="48">
        <v>1</v>
      </c>
      <c r="D126" s="61" t="s">
        <v>106</v>
      </c>
      <c r="E126" s="24" t="s">
        <v>112</v>
      </c>
      <c r="F126" s="40" t="s">
        <v>197</v>
      </c>
      <c r="G126" s="25" t="s">
        <v>194</v>
      </c>
      <c r="H126" s="25" t="s">
        <v>195</v>
      </c>
      <c r="I126" s="50">
        <v>3</v>
      </c>
      <c r="J126" s="25">
        <v>2</v>
      </c>
      <c r="K126" s="39">
        <f t="shared" si="8"/>
        <v>6</v>
      </c>
      <c r="L126" s="51">
        <v>44435</v>
      </c>
      <c r="M126" s="25" t="s">
        <v>153</v>
      </c>
      <c r="N126" s="50">
        <v>1</v>
      </c>
      <c r="O126" s="25">
        <f t="shared" si="6"/>
        <v>2</v>
      </c>
      <c r="P126" s="39">
        <f t="shared" si="7"/>
        <v>2</v>
      </c>
      <c r="Q126" s="53" t="s">
        <v>206</v>
      </c>
      <c r="R126" s="25" t="s">
        <v>13</v>
      </c>
      <c r="S126" s="102"/>
      <c r="T126" s="51"/>
      <c r="U126" s="54"/>
    </row>
    <row r="127" spans="1:21" x14ac:dyDescent="0.25">
      <c r="A127" s="47" t="s">
        <v>224</v>
      </c>
      <c r="B127" s="62" t="s">
        <v>85</v>
      </c>
      <c r="C127" s="63">
        <v>3</v>
      </c>
      <c r="D127" s="64" t="s">
        <v>230</v>
      </c>
      <c r="E127" s="64" t="s">
        <v>109</v>
      </c>
      <c r="F127" s="65" t="s">
        <v>198</v>
      </c>
      <c r="G127" s="66" t="s">
        <v>235</v>
      </c>
      <c r="H127" s="66" t="s">
        <v>126</v>
      </c>
      <c r="I127" s="67">
        <v>2</v>
      </c>
      <c r="J127" s="68">
        <v>3</v>
      </c>
      <c r="K127" s="44">
        <f t="shared" ref="K127:K133" si="20">I127*J127</f>
        <v>6</v>
      </c>
      <c r="L127" s="69">
        <v>44483</v>
      </c>
      <c r="M127" s="68" t="s">
        <v>246</v>
      </c>
      <c r="N127" s="67">
        <v>1</v>
      </c>
      <c r="O127" s="68">
        <f t="shared" ref="O127:O133" si="21">J127</f>
        <v>3</v>
      </c>
      <c r="P127" s="44">
        <f t="shared" ref="P127:P133" si="22">N127*O127</f>
        <v>3</v>
      </c>
      <c r="Q127" s="70" t="s">
        <v>204</v>
      </c>
      <c r="R127" s="68" t="s">
        <v>13</v>
      </c>
      <c r="S127" s="102">
        <v>6</v>
      </c>
      <c r="T127" s="69">
        <v>44483</v>
      </c>
      <c r="U127" s="54">
        <f t="shared" si="19"/>
        <v>46673</v>
      </c>
    </row>
    <row r="128" spans="1:21" ht="30" x14ac:dyDescent="0.25">
      <c r="A128" s="46" t="s">
        <v>224</v>
      </c>
      <c r="B128" s="62" t="s">
        <v>85</v>
      </c>
      <c r="C128" s="48">
        <v>3</v>
      </c>
      <c r="D128" s="24" t="s">
        <v>230</v>
      </c>
      <c r="E128" s="24" t="s">
        <v>109</v>
      </c>
      <c r="F128" s="40" t="s">
        <v>198</v>
      </c>
      <c r="G128" s="23" t="s">
        <v>236</v>
      </c>
      <c r="H128" s="23" t="s">
        <v>247</v>
      </c>
      <c r="I128" s="50">
        <v>2</v>
      </c>
      <c r="J128" s="25">
        <v>2</v>
      </c>
      <c r="K128" s="39">
        <f t="shared" si="20"/>
        <v>4</v>
      </c>
      <c r="L128" s="54">
        <v>44483</v>
      </c>
      <c r="M128" s="59" t="s">
        <v>268</v>
      </c>
      <c r="N128" s="50">
        <v>1</v>
      </c>
      <c r="O128" s="25">
        <f t="shared" si="21"/>
        <v>2</v>
      </c>
      <c r="P128" s="39">
        <f t="shared" si="22"/>
        <v>2</v>
      </c>
      <c r="Q128" s="53" t="s">
        <v>202</v>
      </c>
      <c r="R128" s="104" t="s">
        <v>13</v>
      </c>
      <c r="S128" s="102"/>
      <c r="T128" s="54"/>
      <c r="U128" s="54"/>
    </row>
    <row r="129" spans="1:21" x14ac:dyDescent="0.25">
      <c r="A129" s="1" t="s">
        <v>224</v>
      </c>
      <c r="B129" s="62" t="s">
        <v>85</v>
      </c>
      <c r="C129" s="48">
        <v>3</v>
      </c>
      <c r="D129" s="24" t="s">
        <v>230</v>
      </c>
      <c r="E129" s="24" t="s">
        <v>109</v>
      </c>
      <c r="F129" s="40" t="s">
        <v>198</v>
      </c>
      <c r="G129" s="23" t="s">
        <v>237</v>
      </c>
      <c r="H129" s="23" t="s">
        <v>126</v>
      </c>
      <c r="I129" s="50">
        <v>1</v>
      </c>
      <c r="J129" s="25">
        <v>2</v>
      </c>
      <c r="K129" s="39">
        <f t="shared" si="20"/>
        <v>2</v>
      </c>
      <c r="L129" s="54">
        <v>44483</v>
      </c>
      <c r="M129" s="25" t="s">
        <v>244</v>
      </c>
      <c r="N129" s="50">
        <v>1</v>
      </c>
      <c r="O129" s="25">
        <f t="shared" si="21"/>
        <v>2</v>
      </c>
      <c r="P129" s="39">
        <f t="shared" si="22"/>
        <v>2</v>
      </c>
      <c r="Q129" s="53" t="s">
        <v>242</v>
      </c>
      <c r="R129" s="104" t="s">
        <v>13</v>
      </c>
      <c r="S129" s="102"/>
      <c r="T129" s="54"/>
      <c r="U129" s="54"/>
    </row>
    <row r="130" spans="1:21" x14ac:dyDescent="0.25">
      <c r="A130" s="1" t="s">
        <v>224</v>
      </c>
      <c r="B130" s="62" t="s">
        <v>85</v>
      </c>
      <c r="C130" s="48">
        <v>3</v>
      </c>
      <c r="D130" s="24" t="s">
        <v>230</v>
      </c>
      <c r="E130" s="24" t="s">
        <v>109</v>
      </c>
      <c r="F130" s="40" t="s">
        <v>198</v>
      </c>
      <c r="G130" s="23" t="s">
        <v>238</v>
      </c>
      <c r="H130" s="23" t="s">
        <v>239</v>
      </c>
      <c r="I130" s="50">
        <v>3</v>
      </c>
      <c r="J130" s="25">
        <v>3</v>
      </c>
      <c r="K130" s="39">
        <f t="shared" si="20"/>
        <v>9</v>
      </c>
      <c r="L130" s="54">
        <v>44483</v>
      </c>
      <c r="M130" s="59" t="s">
        <v>249</v>
      </c>
      <c r="N130" s="50">
        <v>1</v>
      </c>
      <c r="O130" s="25">
        <f t="shared" si="21"/>
        <v>3</v>
      </c>
      <c r="P130" s="39">
        <f t="shared" si="22"/>
        <v>3</v>
      </c>
      <c r="Q130" s="53" t="s">
        <v>245</v>
      </c>
      <c r="R130" s="104" t="s">
        <v>13</v>
      </c>
      <c r="S130" s="102"/>
      <c r="T130" s="54"/>
      <c r="U130" s="54"/>
    </row>
    <row r="131" spans="1:21" x14ac:dyDescent="0.25">
      <c r="A131" s="1" t="s">
        <v>224</v>
      </c>
      <c r="B131" s="62" t="s">
        <v>85</v>
      </c>
      <c r="C131" s="48">
        <v>3</v>
      </c>
      <c r="D131" s="24" t="s">
        <v>230</v>
      </c>
      <c r="E131" s="24" t="s">
        <v>109</v>
      </c>
      <c r="F131" s="40" t="s">
        <v>198</v>
      </c>
      <c r="G131" s="23" t="s">
        <v>240</v>
      </c>
      <c r="H131" s="23" t="s">
        <v>126</v>
      </c>
      <c r="I131" s="50">
        <v>2</v>
      </c>
      <c r="J131" s="25">
        <v>4</v>
      </c>
      <c r="K131" s="39">
        <f t="shared" si="20"/>
        <v>8</v>
      </c>
      <c r="L131" s="54">
        <v>44483</v>
      </c>
      <c r="M131" s="25" t="s">
        <v>250</v>
      </c>
      <c r="N131" s="50">
        <v>2</v>
      </c>
      <c r="O131" s="25">
        <f t="shared" si="21"/>
        <v>4</v>
      </c>
      <c r="P131" s="39">
        <f t="shared" si="22"/>
        <v>8</v>
      </c>
      <c r="Q131" s="53" t="s">
        <v>204</v>
      </c>
      <c r="R131" s="104" t="s">
        <v>13</v>
      </c>
      <c r="S131" s="102"/>
      <c r="T131" s="54"/>
      <c r="U131" s="54"/>
    </row>
    <row r="132" spans="1:21" x14ac:dyDescent="0.25">
      <c r="A132" s="1" t="s">
        <v>224</v>
      </c>
      <c r="B132" s="62" t="s">
        <v>85</v>
      </c>
      <c r="C132" s="48">
        <v>3</v>
      </c>
      <c r="D132" s="24" t="s">
        <v>230</v>
      </c>
      <c r="E132" s="24" t="s">
        <v>109</v>
      </c>
      <c r="F132" s="40" t="s">
        <v>198</v>
      </c>
      <c r="G132" s="23" t="s">
        <v>248</v>
      </c>
      <c r="H132" s="23" t="s">
        <v>126</v>
      </c>
      <c r="I132" s="50">
        <v>1</v>
      </c>
      <c r="J132" s="25">
        <v>2</v>
      </c>
      <c r="K132" s="39">
        <f t="shared" si="20"/>
        <v>2</v>
      </c>
      <c r="L132" s="54">
        <v>44483</v>
      </c>
      <c r="M132" s="59" t="s">
        <v>125</v>
      </c>
      <c r="N132" s="50">
        <v>1</v>
      </c>
      <c r="O132" s="25">
        <f t="shared" si="21"/>
        <v>2</v>
      </c>
      <c r="P132" s="39">
        <f t="shared" si="22"/>
        <v>2</v>
      </c>
      <c r="Q132" s="53" t="s">
        <v>242</v>
      </c>
      <c r="R132" s="104" t="s">
        <v>13</v>
      </c>
      <c r="S132" s="102"/>
      <c r="T132" s="54"/>
      <c r="U132" s="54"/>
    </row>
    <row r="133" spans="1:21" ht="30" x14ac:dyDescent="0.25">
      <c r="A133" s="1" t="s">
        <v>224</v>
      </c>
      <c r="B133" s="62" t="s">
        <v>85</v>
      </c>
      <c r="C133" s="48">
        <v>3</v>
      </c>
      <c r="D133" s="24" t="s">
        <v>230</v>
      </c>
      <c r="E133" s="24" t="s">
        <v>109</v>
      </c>
      <c r="F133" s="40" t="s">
        <v>198</v>
      </c>
      <c r="G133" s="23" t="s">
        <v>149</v>
      </c>
      <c r="H133" s="43" t="s">
        <v>136</v>
      </c>
      <c r="I133" s="50">
        <v>2</v>
      </c>
      <c r="J133" s="25">
        <v>1</v>
      </c>
      <c r="K133" s="39">
        <f t="shared" si="20"/>
        <v>2</v>
      </c>
      <c r="L133" s="54">
        <v>44483</v>
      </c>
      <c r="M133" s="25" t="s">
        <v>243</v>
      </c>
      <c r="N133" s="50">
        <v>1</v>
      </c>
      <c r="O133" s="25">
        <f t="shared" si="21"/>
        <v>1</v>
      </c>
      <c r="P133" s="39">
        <f t="shared" si="22"/>
        <v>1</v>
      </c>
      <c r="Q133" s="53" t="s">
        <v>202</v>
      </c>
      <c r="R133" s="104" t="s">
        <v>13</v>
      </c>
      <c r="S133" s="102"/>
      <c r="T133" s="54"/>
      <c r="U133" s="54"/>
    </row>
    <row r="134" spans="1:21" ht="30" x14ac:dyDescent="0.25">
      <c r="A134" s="46" t="s">
        <v>225</v>
      </c>
      <c r="B134" s="62" t="s">
        <v>85</v>
      </c>
      <c r="C134" s="48">
        <v>1</v>
      </c>
      <c r="D134" s="24" t="s">
        <v>231</v>
      </c>
      <c r="E134" s="24" t="s">
        <v>109</v>
      </c>
      <c r="F134" s="40" t="s">
        <v>199</v>
      </c>
      <c r="G134" s="23" t="s">
        <v>149</v>
      </c>
      <c r="H134" s="43" t="s">
        <v>136</v>
      </c>
      <c r="I134" s="50">
        <v>2</v>
      </c>
      <c r="J134" s="25">
        <v>1</v>
      </c>
      <c r="K134" s="39">
        <f>I134*J134</f>
        <v>2</v>
      </c>
      <c r="L134" s="54">
        <v>44483</v>
      </c>
      <c r="M134" s="59" t="s">
        <v>243</v>
      </c>
      <c r="N134" s="50">
        <v>1</v>
      </c>
      <c r="O134" s="25">
        <f t="shared" ref="O134:O153" si="23">J134</f>
        <v>1</v>
      </c>
      <c r="P134" s="39">
        <f t="shared" ref="P134:P153" si="24">N134*O134</f>
        <v>1</v>
      </c>
      <c r="Q134" s="53" t="s">
        <v>202</v>
      </c>
      <c r="R134" s="104" t="s">
        <v>13</v>
      </c>
      <c r="S134" s="97">
        <v>12</v>
      </c>
      <c r="T134" s="121">
        <v>44483</v>
      </c>
      <c r="U134" s="122">
        <f t="shared" si="19"/>
        <v>48863</v>
      </c>
    </row>
    <row r="135" spans="1:21" ht="30" x14ac:dyDescent="0.25">
      <c r="A135" s="1" t="s">
        <v>225</v>
      </c>
      <c r="B135" s="62" t="s">
        <v>85</v>
      </c>
      <c r="C135" s="48">
        <v>1</v>
      </c>
      <c r="D135" s="24" t="s">
        <v>231</v>
      </c>
      <c r="E135" s="24" t="s">
        <v>109</v>
      </c>
      <c r="F135" s="40" t="s">
        <v>199</v>
      </c>
      <c r="G135" s="23" t="s">
        <v>236</v>
      </c>
      <c r="H135" s="23" t="s">
        <v>247</v>
      </c>
      <c r="I135" s="50">
        <v>2</v>
      </c>
      <c r="J135" s="25">
        <v>2</v>
      </c>
      <c r="K135" s="39">
        <f t="shared" ref="K135:K136" si="25">I135*J135</f>
        <v>4</v>
      </c>
      <c r="L135" s="54">
        <v>44483</v>
      </c>
      <c r="M135" s="59" t="s">
        <v>268</v>
      </c>
      <c r="N135" s="50">
        <v>1</v>
      </c>
      <c r="O135" s="25">
        <f t="shared" si="23"/>
        <v>2</v>
      </c>
      <c r="P135" s="39">
        <f t="shared" si="24"/>
        <v>2</v>
      </c>
      <c r="Q135" s="53" t="s">
        <v>242</v>
      </c>
      <c r="R135" s="104" t="s">
        <v>13</v>
      </c>
      <c r="S135" s="102"/>
      <c r="T135" s="54"/>
      <c r="U135" s="54"/>
    </row>
    <row r="136" spans="1:21" x14ac:dyDescent="0.25">
      <c r="A136" s="1" t="s">
        <v>225</v>
      </c>
      <c r="B136" s="62" t="s">
        <v>85</v>
      </c>
      <c r="C136" s="48">
        <v>1</v>
      </c>
      <c r="D136" s="24" t="s">
        <v>231</v>
      </c>
      <c r="E136" s="24" t="s">
        <v>109</v>
      </c>
      <c r="F136" s="40" t="s">
        <v>199</v>
      </c>
      <c r="G136" s="23" t="s">
        <v>241</v>
      </c>
      <c r="H136" s="23" t="s">
        <v>126</v>
      </c>
      <c r="I136" s="50">
        <v>1</v>
      </c>
      <c r="J136" s="25">
        <v>2</v>
      </c>
      <c r="K136" s="39">
        <f t="shared" si="25"/>
        <v>2</v>
      </c>
      <c r="L136" s="54">
        <v>44483</v>
      </c>
      <c r="M136" s="25" t="s">
        <v>125</v>
      </c>
      <c r="N136" s="50">
        <v>1</v>
      </c>
      <c r="O136" s="25">
        <f t="shared" si="23"/>
        <v>2</v>
      </c>
      <c r="P136" s="39">
        <f t="shared" si="24"/>
        <v>2</v>
      </c>
      <c r="Q136" s="53" t="s">
        <v>242</v>
      </c>
      <c r="R136" s="104" t="s">
        <v>13</v>
      </c>
      <c r="S136" s="102"/>
      <c r="T136" s="54"/>
      <c r="U136" s="54"/>
    </row>
    <row r="137" spans="1:21" ht="30" x14ac:dyDescent="0.25">
      <c r="A137" s="46" t="s">
        <v>226</v>
      </c>
      <c r="B137" s="62" t="s">
        <v>85</v>
      </c>
      <c r="C137" s="48">
        <v>1</v>
      </c>
      <c r="D137" s="24" t="s">
        <v>251</v>
      </c>
      <c r="E137" s="24" t="s">
        <v>109</v>
      </c>
      <c r="F137" s="40" t="s">
        <v>199</v>
      </c>
      <c r="G137" s="23" t="s">
        <v>149</v>
      </c>
      <c r="H137" s="43" t="s">
        <v>136</v>
      </c>
      <c r="I137" s="50">
        <v>2</v>
      </c>
      <c r="J137" s="25">
        <v>1</v>
      </c>
      <c r="K137" s="39">
        <f t="shared" ref="K137:K153" si="26">I137*J137</f>
        <v>2</v>
      </c>
      <c r="L137" s="54">
        <v>44483</v>
      </c>
      <c r="M137" s="59" t="s">
        <v>243</v>
      </c>
      <c r="N137" s="50">
        <v>1</v>
      </c>
      <c r="O137" s="25">
        <f t="shared" si="23"/>
        <v>1</v>
      </c>
      <c r="P137" s="39">
        <f t="shared" si="24"/>
        <v>1</v>
      </c>
      <c r="Q137" s="53" t="s">
        <v>202</v>
      </c>
      <c r="R137" s="25" t="s">
        <v>13</v>
      </c>
      <c r="S137" s="97">
        <v>12</v>
      </c>
      <c r="T137" s="121">
        <v>44483</v>
      </c>
      <c r="U137" s="121">
        <f t="shared" si="19"/>
        <v>48863</v>
      </c>
    </row>
    <row r="138" spans="1:21" x14ac:dyDescent="0.25">
      <c r="A138" s="1" t="s">
        <v>226</v>
      </c>
      <c r="B138" s="62" t="s">
        <v>85</v>
      </c>
      <c r="C138" s="48">
        <v>1</v>
      </c>
      <c r="D138" s="24" t="s">
        <v>251</v>
      </c>
      <c r="E138" s="24" t="s">
        <v>109</v>
      </c>
      <c r="F138" s="40" t="s">
        <v>199</v>
      </c>
      <c r="G138" s="23" t="s">
        <v>252</v>
      </c>
      <c r="H138" s="23" t="s">
        <v>126</v>
      </c>
      <c r="I138" s="50">
        <v>2</v>
      </c>
      <c r="J138" s="25">
        <v>2</v>
      </c>
      <c r="K138" s="39">
        <f t="shared" si="26"/>
        <v>4</v>
      </c>
      <c r="L138" s="54">
        <v>44483</v>
      </c>
      <c r="M138" s="25" t="s">
        <v>253</v>
      </c>
      <c r="N138" s="50">
        <v>1</v>
      </c>
      <c r="O138" s="25">
        <f t="shared" si="23"/>
        <v>2</v>
      </c>
      <c r="P138" s="39">
        <f t="shared" si="24"/>
        <v>2</v>
      </c>
      <c r="Q138" s="53" t="s">
        <v>204</v>
      </c>
      <c r="R138" s="25" t="s">
        <v>13</v>
      </c>
      <c r="S138" s="102"/>
      <c r="T138" s="54"/>
      <c r="U138" s="54"/>
    </row>
    <row r="139" spans="1:21" x14ac:dyDescent="0.25">
      <c r="A139" s="1" t="s">
        <v>226</v>
      </c>
      <c r="B139" s="62" t="s">
        <v>85</v>
      </c>
      <c r="C139" s="48">
        <v>1</v>
      </c>
      <c r="D139" s="24" t="s">
        <v>251</v>
      </c>
      <c r="E139" s="24" t="s">
        <v>109</v>
      </c>
      <c r="F139" s="40" t="s">
        <v>199</v>
      </c>
      <c r="G139" s="23" t="s">
        <v>241</v>
      </c>
      <c r="H139" s="23" t="s">
        <v>126</v>
      </c>
      <c r="I139" s="50">
        <v>2</v>
      </c>
      <c r="J139" s="25">
        <v>2</v>
      </c>
      <c r="K139" s="39">
        <f t="shared" si="26"/>
        <v>4</v>
      </c>
      <c r="L139" s="54">
        <v>44483</v>
      </c>
      <c r="M139" s="25" t="s">
        <v>125</v>
      </c>
      <c r="N139" s="50">
        <v>1</v>
      </c>
      <c r="O139" s="25">
        <f t="shared" si="23"/>
        <v>2</v>
      </c>
      <c r="P139" s="39">
        <f t="shared" si="24"/>
        <v>2</v>
      </c>
      <c r="Q139" s="53" t="s">
        <v>254</v>
      </c>
      <c r="R139" s="25" t="s">
        <v>13</v>
      </c>
      <c r="S139" s="102"/>
      <c r="T139" s="54"/>
      <c r="U139" s="54"/>
    </row>
    <row r="140" spans="1:21" x14ac:dyDescent="0.25">
      <c r="A140" s="1" t="s">
        <v>226</v>
      </c>
      <c r="B140" s="62" t="s">
        <v>85</v>
      </c>
      <c r="C140" s="48">
        <v>1</v>
      </c>
      <c r="D140" s="24" t="s">
        <v>251</v>
      </c>
      <c r="E140" s="24" t="s">
        <v>109</v>
      </c>
      <c r="F140" s="40" t="s">
        <v>199</v>
      </c>
      <c r="G140" s="23" t="s">
        <v>255</v>
      </c>
      <c r="H140" s="23" t="s">
        <v>126</v>
      </c>
      <c r="I140" s="50">
        <v>2</v>
      </c>
      <c r="J140" s="25">
        <v>1</v>
      </c>
      <c r="K140" s="39">
        <f t="shared" si="26"/>
        <v>2</v>
      </c>
      <c r="L140" s="54">
        <v>44483</v>
      </c>
      <c r="M140" s="25" t="s">
        <v>187</v>
      </c>
      <c r="N140" s="50">
        <v>1</v>
      </c>
      <c r="O140" s="25">
        <f t="shared" si="23"/>
        <v>1</v>
      </c>
      <c r="P140" s="39">
        <f t="shared" si="24"/>
        <v>1</v>
      </c>
      <c r="Q140" s="53" t="s">
        <v>204</v>
      </c>
      <c r="R140" s="25" t="s">
        <v>13</v>
      </c>
      <c r="S140" s="102"/>
      <c r="T140" s="54"/>
      <c r="U140" s="54"/>
    </row>
    <row r="141" spans="1:21" ht="30" x14ac:dyDescent="0.25">
      <c r="A141" s="1" t="s">
        <v>226</v>
      </c>
      <c r="B141" s="62" t="s">
        <v>85</v>
      </c>
      <c r="C141" s="48">
        <v>1</v>
      </c>
      <c r="D141" s="24" t="s">
        <v>251</v>
      </c>
      <c r="E141" s="24" t="s">
        <v>109</v>
      </c>
      <c r="F141" s="40" t="s">
        <v>199</v>
      </c>
      <c r="G141" s="23" t="s">
        <v>256</v>
      </c>
      <c r="H141" s="23" t="s">
        <v>247</v>
      </c>
      <c r="I141" s="50">
        <v>2</v>
      </c>
      <c r="J141" s="25">
        <v>2</v>
      </c>
      <c r="K141" s="39">
        <f t="shared" si="26"/>
        <v>4</v>
      </c>
      <c r="L141" s="54">
        <v>44483</v>
      </c>
      <c r="M141" s="59" t="s">
        <v>268</v>
      </c>
      <c r="N141" s="50">
        <v>1</v>
      </c>
      <c r="O141" s="25">
        <f t="shared" si="23"/>
        <v>2</v>
      </c>
      <c r="P141" s="39">
        <f t="shared" si="24"/>
        <v>2</v>
      </c>
      <c r="Q141" s="53" t="s">
        <v>242</v>
      </c>
      <c r="R141" s="25" t="s">
        <v>13</v>
      </c>
      <c r="S141" s="102"/>
      <c r="T141" s="54"/>
      <c r="U141" s="54"/>
    </row>
    <row r="142" spans="1:21" x14ac:dyDescent="0.25">
      <c r="A142" s="46" t="s">
        <v>227</v>
      </c>
      <c r="B142" s="62" t="s">
        <v>85</v>
      </c>
      <c r="C142" s="48">
        <v>3</v>
      </c>
      <c r="D142" s="24" t="s">
        <v>232</v>
      </c>
      <c r="E142" s="24" t="s">
        <v>109</v>
      </c>
      <c r="F142" s="40" t="s">
        <v>198</v>
      </c>
      <c r="G142" s="23" t="s">
        <v>238</v>
      </c>
      <c r="H142" s="23" t="s">
        <v>257</v>
      </c>
      <c r="I142" s="50">
        <v>3</v>
      </c>
      <c r="J142" s="25">
        <v>3</v>
      </c>
      <c r="K142" s="39">
        <f t="shared" si="26"/>
        <v>9</v>
      </c>
      <c r="L142" s="54">
        <v>44483</v>
      </c>
      <c r="M142" s="59" t="s">
        <v>249</v>
      </c>
      <c r="N142" s="50">
        <v>1</v>
      </c>
      <c r="O142" s="25">
        <f t="shared" si="23"/>
        <v>3</v>
      </c>
      <c r="P142" s="39">
        <f t="shared" si="24"/>
        <v>3</v>
      </c>
      <c r="Q142" s="53" t="s">
        <v>202</v>
      </c>
      <c r="R142" s="25" t="s">
        <v>13</v>
      </c>
      <c r="S142" s="102">
        <v>6</v>
      </c>
      <c r="T142" s="54">
        <v>44483</v>
      </c>
      <c r="U142" s="54">
        <f t="shared" si="19"/>
        <v>46673</v>
      </c>
    </row>
    <row r="143" spans="1:21" x14ac:dyDescent="0.25">
      <c r="A143" s="1" t="s">
        <v>227</v>
      </c>
      <c r="B143" s="62" t="s">
        <v>85</v>
      </c>
      <c r="C143" s="48">
        <v>3</v>
      </c>
      <c r="D143" s="24" t="s">
        <v>232</v>
      </c>
      <c r="E143" s="24" t="s">
        <v>109</v>
      </c>
      <c r="F143" s="40" t="s">
        <v>198</v>
      </c>
      <c r="G143" s="23" t="s">
        <v>258</v>
      </c>
      <c r="H143" s="23" t="s">
        <v>126</v>
      </c>
      <c r="I143" s="50">
        <v>2</v>
      </c>
      <c r="J143" s="25">
        <v>4</v>
      </c>
      <c r="K143" s="39">
        <f t="shared" si="26"/>
        <v>8</v>
      </c>
      <c r="L143" s="54">
        <v>44483</v>
      </c>
      <c r="M143" s="25" t="s">
        <v>259</v>
      </c>
      <c r="N143" s="50">
        <v>2</v>
      </c>
      <c r="O143" s="25">
        <f t="shared" si="23"/>
        <v>4</v>
      </c>
      <c r="P143" s="39">
        <f t="shared" si="24"/>
        <v>8</v>
      </c>
      <c r="Q143" s="53" t="s">
        <v>204</v>
      </c>
      <c r="R143" s="25" t="s">
        <v>13</v>
      </c>
      <c r="S143" s="102"/>
      <c r="T143" s="54"/>
      <c r="U143" s="54"/>
    </row>
    <row r="144" spans="1:21" x14ac:dyDescent="0.25">
      <c r="A144" s="1" t="s">
        <v>227</v>
      </c>
      <c r="B144" s="62" t="s">
        <v>85</v>
      </c>
      <c r="C144" s="48">
        <v>3</v>
      </c>
      <c r="D144" s="24" t="s">
        <v>232</v>
      </c>
      <c r="E144" s="24" t="s">
        <v>109</v>
      </c>
      <c r="F144" s="40" t="s">
        <v>198</v>
      </c>
      <c r="G144" s="23" t="s">
        <v>145</v>
      </c>
      <c r="H144" s="23" t="s">
        <v>126</v>
      </c>
      <c r="I144" s="50">
        <v>1</v>
      </c>
      <c r="J144" s="25">
        <v>2</v>
      </c>
      <c r="K144" s="39">
        <f t="shared" si="26"/>
        <v>2</v>
      </c>
      <c r="L144" s="54">
        <v>44483</v>
      </c>
      <c r="M144" s="25" t="s">
        <v>244</v>
      </c>
      <c r="N144" s="50">
        <v>1</v>
      </c>
      <c r="O144" s="25">
        <f t="shared" si="23"/>
        <v>2</v>
      </c>
      <c r="P144" s="39">
        <f t="shared" si="24"/>
        <v>2</v>
      </c>
      <c r="Q144" s="53" t="s">
        <v>242</v>
      </c>
      <c r="R144" s="25" t="s">
        <v>13</v>
      </c>
      <c r="S144" s="102"/>
      <c r="T144" s="54"/>
      <c r="U144" s="54"/>
    </row>
    <row r="145" spans="1:21" ht="30" x14ac:dyDescent="0.25">
      <c r="A145" s="1" t="s">
        <v>227</v>
      </c>
      <c r="B145" s="62" t="s">
        <v>85</v>
      </c>
      <c r="C145" s="48">
        <v>3</v>
      </c>
      <c r="D145" s="24" t="s">
        <v>232</v>
      </c>
      <c r="E145" s="24" t="s">
        <v>109</v>
      </c>
      <c r="F145" s="40" t="s">
        <v>198</v>
      </c>
      <c r="G145" s="23" t="s">
        <v>149</v>
      </c>
      <c r="H145" s="43" t="s">
        <v>136</v>
      </c>
      <c r="I145" s="50">
        <v>2</v>
      </c>
      <c r="J145" s="25">
        <v>1</v>
      </c>
      <c r="K145" s="39">
        <f t="shared" si="26"/>
        <v>2</v>
      </c>
      <c r="L145" s="54">
        <v>44483</v>
      </c>
      <c r="M145" s="25" t="s">
        <v>243</v>
      </c>
      <c r="N145" s="50">
        <v>1</v>
      </c>
      <c r="O145" s="25">
        <f t="shared" si="23"/>
        <v>1</v>
      </c>
      <c r="P145" s="39">
        <f t="shared" si="24"/>
        <v>1</v>
      </c>
      <c r="Q145" s="53" t="s">
        <v>202</v>
      </c>
      <c r="R145" s="25" t="s">
        <v>13</v>
      </c>
      <c r="S145" s="102"/>
      <c r="T145" s="54"/>
      <c r="U145" s="54"/>
    </row>
    <row r="146" spans="1:21" ht="45" x14ac:dyDescent="0.25">
      <c r="A146" s="46" t="s">
        <v>228</v>
      </c>
      <c r="B146" s="62" t="s">
        <v>85</v>
      </c>
      <c r="C146" s="48">
        <v>2</v>
      </c>
      <c r="D146" s="24" t="s">
        <v>233</v>
      </c>
      <c r="E146" s="24" t="s">
        <v>109</v>
      </c>
      <c r="F146" s="40" t="s">
        <v>198</v>
      </c>
      <c r="G146" s="23" t="s">
        <v>269</v>
      </c>
      <c r="H146" s="23" t="s">
        <v>126</v>
      </c>
      <c r="I146" s="50">
        <v>2</v>
      </c>
      <c r="J146" s="25">
        <v>4</v>
      </c>
      <c r="K146" s="39">
        <f t="shared" si="26"/>
        <v>8</v>
      </c>
      <c r="L146" s="54">
        <v>44484</v>
      </c>
      <c r="M146" s="59" t="s">
        <v>270</v>
      </c>
      <c r="N146" s="50">
        <v>2</v>
      </c>
      <c r="O146" s="25">
        <f t="shared" si="23"/>
        <v>4</v>
      </c>
      <c r="P146" s="39">
        <f t="shared" si="24"/>
        <v>8</v>
      </c>
      <c r="Q146" s="53" t="s">
        <v>204</v>
      </c>
      <c r="R146" s="25" t="s">
        <v>13</v>
      </c>
      <c r="S146" s="97">
        <v>6</v>
      </c>
      <c r="T146" s="121">
        <v>44484</v>
      </c>
      <c r="U146" s="121">
        <f t="shared" si="19"/>
        <v>46674</v>
      </c>
    </row>
    <row r="147" spans="1:21" ht="30" x14ac:dyDescent="0.25">
      <c r="A147" s="46" t="s">
        <v>228</v>
      </c>
      <c r="B147" s="62" t="s">
        <v>85</v>
      </c>
      <c r="C147" s="48">
        <v>2</v>
      </c>
      <c r="D147" s="24" t="s">
        <v>233</v>
      </c>
      <c r="E147" s="24" t="s">
        <v>109</v>
      </c>
      <c r="F147" s="40" t="s">
        <v>198</v>
      </c>
      <c r="G147" s="23" t="s">
        <v>149</v>
      </c>
      <c r="H147" s="43" t="s">
        <v>136</v>
      </c>
      <c r="I147" s="50">
        <v>2</v>
      </c>
      <c r="J147" s="25">
        <v>1</v>
      </c>
      <c r="K147" s="39">
        <f t="shared" si="26"/>
        <v>2</v>
      </c>
      <c r="L147" s="54">
        <v>44484</v>
      </c>
      <c r="M147" s="25" t="s">
        <v>243</v>
      </c>
      <c r="N147" s="50">
        <v>1</v>
      </c>
      <c r="O147" s="25">
        <f t="shared" si="23"/>
        <v>1</v>
      </c>
      <c r="P147" s="39">
        <f t="shared" si="24"/>
        <v>1</v>
      </c>
      <c r="Q147" s="53" t="s">
        <v>202</v>
      </c>
      <c r="R147" s="25" t="s">
        <v>13</v>
      </c>
      <c r="S147" s="102"/>
      <c r="T147" s="54"/>
      <c r="U147" s="54"/>
    </row>
    <row r="148" spans="1:21" x14ac:dyDescent="0.25">
      <c r="A148" s="1" t="s">
        <v>228</v>
      </c>
      <c r="B148" s="62" t="s">
        <v>85</v>
      </c>
      <c r="C148" s="48">
        <v>2</v>
      </c>
      <c r="D148" s="24" t="s">
        <v>233</v>
      </c>
      <c r="E148" s="24" t="s">
        <v>109</v>
      </c>
      <c r="F148" s="40" t="s">
        <v>198</v>
      </c>
      <c r="G148" s="23" t="s">
        <v>145</v>
      </c>
      <c r="H148" s="25" t="s">
        <v>126</v>
      </c>
      <c r="I148" s="50">
        <v>1</v>
      </c>
      <c r="J148" s="25">
        <v>2</v>
      </c>
      <c r="K148" s="39">
        <f t="shared" si="26"/>
        <v>2</v>
      </c>
      <c r="L148" s="54">
        <v>44484</v>
      </c>
      <c r="M148" s="25" t="s">
        <v>244</v>
      </c>
      <c r="N148" s="50">
        <v>1</v>
      </c>
      <c r="O148" s="25">
        <f t="shared" si="23"/>
        <v>2</v>
      </c>
      <c r="P148" s="39">
        <f t="shared" si="24"/>
        <v>2</v>
      </c>
      <c r="Q148" s="53" t="s">
        <v>242</v>
      </c>
      <c r="R148" s="25" t="s">
        <v>13</v>
      </c>
      <c r="S148" s="102"/>
      <c r="T148" s="54"/>
      <c r="U148" s="54"/>
    </row>
    <row r="149" spans="1:21" x14ac:dyDescent="0.25">
      <c r="A149" s="1" t="s">
        <v>228</v>
      </c>
      <c r="B149" s="62" t="s">
        <v>85</v>
      </c>
      <c r="C149" s="48">
        <v>2</v>
      </c>
      <c r="D149" s="24" t="s">
        <v>233</v>
      </c>
      <c r="E149" s="24" t="s">
        <v>109</v>
      </c>
      <c r="F149" s="40" t="s">
        <v>198</v>
      </c>
      <c r="G149" s="23" t="s">
        <v>271</v>
      </c>
      <c r="H149" s="25" t="s">
        <v>126</v>
      </c>
      <c r="I149" s="50">
        <v>2</v>
      </c>
      <c r="J149" s="25">
        <v>1</v>
      </c>
      <c r="K149" s="39">
        <f t="shared" si="26"/>
        <v>2</v>
      </c>
      <c r="L149" s="54">
        <v>44484</v>
      </c>
      <c r="M149" s="25" t="s">
        <v>187</v>
      </c>
      <c r="N149" s="50">
        <v>1</v>
      </c>
      <c r="O149" s="25">
        <f t="shared" si="23"/>
        <v>1</v>
      </c>
      <c r="P149" s="39">
        <f t="shared" si="24"/>
        <v>1</v>
      </c>
      <c r="Q149" s="53" t="s">
        <v>204</v>
      </c>
      <c r="R149" s="25" t="s">
        <v>13</v>
      </c>
      <c r="S149" s="102"/>
      <c r="T149" s="54"/>
      <c r="U149" s="54"/>
    </row>
    <row r="150" spans="1:21" x14ac:dyDescent="0.25">
      <c r="A150" s="1" t="s">
        <v>228</v>
      </c>
      <c r="B150" s="62" t="s">
        <v>85</v>
      </c>
      <c r="C150" s="48">
        <v>2</v>
      </c>
      <c r="D150" s="24" t="s">
        <v>233</v>
      </c>
      <c r="E150" s="24" t="s">
        <v>109</v>
      </c>
      <c r="F150" s="40" t="s">
        <v>198</v>
      </c>
      <c r="G150" s="23" t="s">
        <v>272</v>
      </c>
      <c r="H150" s="25" t="s">
        <v>273</v>
      </c>
      <c r="I150" s="50">
        <v>5</v>
      </c>
      <c r="J150" s="25">
        <v>1</v>
      </c>
      <c r="K150" s="39">
        <f t="shared" si="26"/>
        <v>5</v>
      </c>
      <c r="L150" s="54">
        <v>44488</v>
      </c>
      <c r="M150" s="25" t="s">
        <v>274</v>
      </c>
      <c r="N150" s="50">
        <v>3</v>
      </c>
      <c r="O150" s="25">
        <f t="shared" si="23"/>
        <v>1</v>
      </c>
      <c r="P150" s="39">
        <f t="shared" si="24"/>
        <v>3</v>
      </c>
      <c r="Q150" s="53" t="s">
        <v>205</v>
      </c>
      <c r="R150" s="25" t="s">
        <v>13</v>
      </c>
      <c r="S150" s="102"/>
      <c r="T150" s="54"/>
      <c r="U150" s="54"/>
    </row>
    <row r="151" spans="1:21" ht="30" x14ac:dyDescent="0.25">
      <c r="A151" s="71" t="s">
        <v>229</v>
      </c>
      <c r="B151" s="62" t="s">
        <v>85</v>
      </c>
      <c r="C151" s="112">
        <v>1</v>
      </c>
      <c r="D151" s="76" t="s">
        <v>263</v>
      </c>
      <c r="E151" s="10" t="s">
        <v>109</v>
      </c>
      <c r="F151" s="113" t="s">
        <v>234</v>
      </c>
      <c r="G151" s="23" t="s">
        <v>260</v>
      </c>
      <c r="H151" s="23" t="s">
        <v>261</v>
      </c>
      <c r="I151" s="50">
        <v>2</v>
      </c>
      <c r="J151" s="25">
        <v>5</v>
      </c>
      <c r="K151" s="39">
        <f t="shared" si="26"/>
        <v>10</v>
      </c>
      <c r="L151" s="54">
        <v>44483</v>
      </c>
      <c r="M151" s="59" t="s">
        <v>262</v>
      </c>
      <c r="N151" s="50">
        <v>1</v>
      </c>
      <c r="O151" s="25">
        <f t="shared" si="23"/>
        <v>5</v>
      </c>
      <c r="P151" s="39">
        <f t="shared" si="24"/>
        <v>5</v>
      </c>
      <c r="Q151" s="53" t="s">
        <v>204</v>
      </c>
      <c r="R151" s="25" t="s">
        <v>13</v>
      </c>
      <c r="S151" s="102">
        <v>6</v>
      </c>
      <c r="T151" s="122">
        <v>44483</v>
      </c>
      <c r="U151" s="122">
        <f t="shared" si="19"/>
        <v>46673</v>
      </c>
    </row>
    <row r="152" spans="1:21" ht="30" x14ac:dyDescent="0.25">
      <c r="A152" s="1" t="s">
        <v>229</v>
      </c>
      <c r="B152" s="62" t="s">
        <v>85</v>
      </c>
      <c r="C152" s="112">
        <v>1</v>
      </c>
      <c r="D152" s="76" t="s">
        <v>263</v>
      </c>
      <c r="E152" s="10" t="s">
        <v>109</v>
      </c>
      <c r="F152" s="113" t="s">
        <v>234</v>
      </c>
      <c r="G152" s="23" t="s">
        <v>149</v>
      </c>
      <c r="H152" s="43" t="s">
        <v>264</v>
      </c>
      <c r="I152" s="50">
        <v>2</v>
      </c>
      <c r="J152" s="25">
        <v>1</v>
      </c>
      <c r="K152" s="39">
        <f t="shared" si="26"/>
        <v>2</v>
      </c>
      <c r="L152" s="54">
        <v>44483</v>
      </c>
      <c r="M152" s="25" t="s">
        <v>243</v>
      </c>
      <c r="N152" s="50">
        <v>1</v>
      </c>
      <c r="O152" s="25">
        <f t="shared" si="23"/>
        <v>1</v>
      </c>
      <c r="P152" s="39">
        <f t="shared" si="24"/>
        <v>1</v>
      </c>
      <c r="Q152" s="53" t="s">
        <v>202</v>
      </c>
      <c r="R152" s="25" t="s">
        <v>13</v>
      </c>
      <c r="S152" s="102"/>
      <c r="T152" s="54"/>
      <c r="U152" s="54"/>
    </row>
    <row r="153" spans="1:21" ht="30.75" thickBot="1" x14ac:dyDescent="0.3">
      <c r="A153" s="111" t="s">
        <v>229</v>
      </c>
      <c r="B153" s="117" t="s">
        <v>85</v>
      </c>
      <c r="C153" s="118">
        <v>1</v>
      </c>
      <c r="D153" s="116" t="s">
        <v>263</v>
      </c>
      <c r="E153" s="114" t="s">
        <v>109</v>
      </c>
      <c r="F153" s="115" t="s">
        <v>234</v>
      </c>
      <c r="G153" s="57" t="s">
        <v>266</v>
      </c>
      <c r="H153" s="57" t="s">
        <v>267</v>
      </c>
      <c r="I153" s="49">
        <v>2</v>
      </c>
      <c r="J153" s="41">
        <v>2</v>
      </c>
      <c r="K153" s="42">
        <f t="shared" si="26"/>
        <v>4</v>
      </c>
      <c r="L153" s="58">
        <v>44483</v>
      </c>
      <c r="M153" s="57" t="s">
        <v>265</v>
      </c>
      <c r="N153" s="49">
        <v>1</v>
      </c>
      <c r="O153" s="25">
        <f t="shared" si="23"/>
        <v>2</v>
      </c>
      <c r="P153" s="42">
        <f t="shared" si="24"/>
        <v>2</v>
      </c>
      <c r="Q153" s="60" t="s">
        <v>202</v>
      </c>
      <c r="R153" s="57" t="s">
        <v>13</v>
      </c>
      <c r="S153" s="101"/>
      <c r="T153" s="58"/>
      <c r="U153" s="54"/>
    </row>
  </sheetData>
  <autoFilter ref="A1:U153" xr:uid="{E16A879D-948E-4900-9927-6F755A54AAD6}">
    <filterColumn colId="8" showButton="0"/>
    <filterColumn colId="9" showButton="0"/>
    <filterColumn colId="10" showButton="0"/>
    <filterColumn colId="13" showButton="0"/>
    <filterColumn colId="14" showButton="0"/>
    <filterColumn colId="15" showButton="0"/>
  </autoFilter>
  <mergeCells count="14">
    <mergeCell ref="S1:S2"/>
    <mergeCell ref="T1:T2"/>
    <mergeCell ref="U1:U2"/>
    <mergeCell ref="A1:A2"/>
    <mergeCell ref="N1:Q1"/>
    <mergeCell ref="R1:R2"/>
    <mergeCell ref="E1:E2"/>
    <mergeCell ref="I1:L1"/>
    <mergeCell ref="G1:G2"/>
    <mergeCell ref="F1:F2"/>
    <mergeCell ref="M1:M2"/>
    <mergeCell ref="B1:B2"/>
    <mergeCell ref="H1:H2"/>
    <mergeCell ref="D1:D2"/>
  </mergeCells>
  <phoneticPr fontId="9" type="noConversion"/>
  <conditionalFormatting sqref="K3:K153">
    <cfRule type="cellIs" dxfId="7" priority="42" operator="greaterThan">
      <formula>14</formula>
    </cfRule>
    <cfRule type="cellIs" dxfId="6" priority="43" operator="between">
      <formula>9</formula>
      <formula>14</formula>
    </cfRule>
    <cfRule type="cellIs" dxfId="5" priority="44" operator="between">
      <formula>1</formula>
      <formula>8</formula>
    </cfRule>
  </conditionalFormatting>
  <conditionalFormatting sqref="P3:P153">
    <cfRule type="cellIs" dxfId="4" priority="39" operator="between">
      <formula>9</formula>
      <formula>14</formula>
    </cfRule>
    <cfRule type="cellIs" dxfId="3" priority="40" operator="between">
      <formula>1</formula>
      <formula>8</formula>
    </cfRule>
    <cfRule type="cellIs" dxfId="2" priority="41" operator="greaterThan">
      <formula>14</formula>
    </cfRule>
  </conditionalFormatting>
  <conditionalFormatting sqref="R3:R127 R137:R153">
    <cfRule type="containsText" dxfId="1" priority="4" operator="containsText" text="Complete">
      <formula>NOT(ISERROR(SEARCH("Complete",R3)))</formula>
    </cfRule>
    <cfRule type="containsText" dxfId="0" priority="5" operator="containsText" text="Open">
      <formula>NOT(ISERROR(SEARCH("Open",R3)))</formula>
    </cfRule>
  </conditionalFormatting>
  <pageMargins left="0.25" right="0.25" top="0.75" bottom="0.75" header="0.3" footer="0.3"/>
  <pageSetup paperSize="9" scale="32" fitToHeight="0" orientation="landscape" horizontalDpi="4294967293" r:id="rId1"/>
  <rowBreaks count="1" manualBreakCount="1">
    <brk id="98" max="2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8954E-9907-4AD6-833D-C8B163694480}">
  <dimension ref="A1:P19"/>
  <sheetViews>
    <sheetView topLeftCell="A3" zoomScaleNormal="100" workbookViewId="0">
      <selection activeCell="A7" sqref="A7"/>
    </sheetView>
  </sheetViews>
  <sheetFormatPr defaultRowHeight="15" x14ac:dyDescent="0.25"/>
  <cols>
    <col min="1" max="1" width="26" customWidth="1"/>
    <col min="2" max="6" width="50.7109375" customWidth="1"/>
    <col min="15" max="15" width="43.7109375" bestFit="1" customWidth="1"/>
    <col min="16" max="16" width="11.28515625" bestFit="1" customWidth="1"/>
  </cols>
  <sheetData>
    <row r="1" spans="1:16" ht="17.25" thickBot="1" x14ac:dyDescent="0.35">
      <c r="A1" s="2" t="s">
        <v>14</v>
      </c>
      <c r="B1" s="2"/>
      <c r="C1" s="2"/>
      <c r="D1" s="2"/>
      <c r="E1" s="2"/>
      <c r="F1" s="2"/>
    </row>
    <row r="2" spans="1:16" x14ac:dyDescent="0.25">
      <c r="A2" s="26" t="s">
        <v>15</v>
      </c>
      <c r="B2" s="27">
        <v>1</v>
      </c>
      <c r="C2" s="27">
        <v>2</v>
      </c>
      <c r="D2" s="27">
        <v>3</v>
      </c>
      <c r="E2" s="27">
        <v>4</v>
      </c>
      <c r="F2" s="28">
        <v>5</v>
      </c>
    </row>
    <row r="3" spans="1:16" ht="297" x14ac:dyDescent="0.25">
      <c r="A3" s="29" t="s">
        <v>16</v>
      </c>
      <c r="B3" s="4" t="s">
        <v>17</v>
      </c>
      <c r="C3" s="4" t="s">
        <v>18</v>
      </c>
      <c r="D3" s="4" t="s">
        <v>19</v>
      </c>
      <c r="E3" s="4" t="s">
        <v>20</v>
      </c>
      <c r="F3" s="30" t="s">
        <v>21</v>
      </c>
    </row>
    <row r="4" spans="1:16" ht="148.5" x14ac:dyDescent="0.3">
      <c r="A4" s="31" t="s">
        <v>22</v>
      </c>
      <c r="B4" s="5" t="s">
        <v>23</v>
      </c>
      <c r="C4" s="5" t="s">
        <v>24</v>
      </c>
      <c r="D4" s="5" t="s">
        <v>25</v>
      </c>
      <c r="E4" s="5" t="s">
        <v>26</v>
      </c>
      <c r="F4" s="32" t="s">
        <v>27</v>
      </c>
    </row>
    <row r="5" spans="1:16" ht="82.5" x14ac:dyDescent="0.3">
      <c r="A5" s="31" t="s">
        <v>28</v>
      </c>
      <c r="B5" s="5" t="s">
        <v>29</v>
      </c>
      <c r="C5" s="5" t="s">
        <v>30</v>
      </c>
      <c r="D5" s="5" t="s">
        <v>31</v>
      </c>
      <c r="E5" s="5" t="s">
        <v>32</v>
      </c>
      <c r="F5" s="32" t="s">
        <v>33</v>
      </c>
    </row>
    <row r="6" spans="1:16" ht="181.5" x14ac:dyDescent="0.3">
      <c r="A6" s="29" t="s">
        <v>34</v>
      </c>
      <c r="B6" s="5" t="s">
        <v>35</v>
      </c>
      <c r="C6" s="5" t="s">
        <v>36</v>
      </c>
      <c r="D6" s="5" t="s">
        <v>37</v>
      </c>
      <c r="E6" s="5" t="s">
        <v>38</v>
      </c>
      <c r="F6" s="32" t="s">
        <v>39</v>
      </c>
    </row>
    <row r="7" spans="1:16" ht="264" x14ac:dyDescent="0.3">
      <c r="A7" s="31" t="s">
        <v>40</v>
      </c>
      <c r="B7" s="5" t="s">
        <v>41</v>
      </c>
      <c r="C7" s="5" t="s">
        <v>42</v>
      </c>
      <c r="D7" s="5" t="s">
        <v>43</v>
      </c>
      <c r="E7" s="5" t="s">
        <v>44</v>
      </c>
      <c r="F7" s="32" t="s">
        <v>45</v>
      </c>
    </row>
    <row r="8" spans="1:16" x14ac:dyDescent="0.25">
      <c r="A8" s="33" t="s">
        <v>46</v>
      </c>
      <c r="B8" s="3">
        <v>1</v>
      </c>
      <c r="C8" s="3">
        <v>2</v>
      </c>
      <c r="D8" s="3">
        <v>3</v>
      </c>
      <c r="E8" s="3">
        <v>4</v>
      </c>
      <c r="F8" s="34">
        <v>5</v>
      </c>
    </row>
    <row r="9" spans="1:16" ht="66.75" thickBot="1" x14ac:dyDescent="0.3">
      <c r="A9" s="35" t="s">
        <v>47</v>
      </c>
      <c r="B9" s="36" t="s">
        <v>48</v>
      </c>
      <c r="C9" s="36" t="s">
        <v>49</v>
      </c>
      <c r="D9" s="36" t="s">
        <v>50</v>
      </c>
      <c r="E9" s="36" t="s">
        <v>51</v>
      </c>
      <c r="F9" s="37" t="s">
        <v>52</v>
      </c>
    </row>
    <row r="12" spans="1:16" x14ac:dyDescent="0.25">
      <c r="G12" s="1"/>
      <c r="H12" s="1"/>
      <c r="I12" s="148" t="s">
        <v>10</v>
      </c>
      <c r="J12" s="148"/>
      <c r="K12" s="148"/>
      <c r="L12" s="148"/>
      <c r="M12" s="148"/>
      <c r="N12" s="1"/>
    </row>
    <row r="13" spans="1:16" ht="15.75" thickBot="1" x14ac:dyDescent="0.3">
      <c r="G13" s="6"/>
      <c r="H13" s="7"/>
      <c r="I13" s="8">
        <v>1</v>
      </c>
      <c r="J13" s="9">
        <v>2</v>
      </c>
      <c r="K13" s="9">
        <v>3</v>
      </c>
      <c r="L13" s="9">
        <v>4</v>
      </c>
      <c r="M13" s="9">
        <v>5</v>
      </c>
      <c r="N13" s="10"/>
    </row>
    <row r="14" spans="1:16" x14ac:dyDescent="0.25">
      <c r="G14" s="149" t="s">
        <v>9</v>
      </c>
      <c r="H14" s="11">
        <v>1</v>
      </c>
      <c r="I14" s="12">
        <f>$H14*$I$13</f>
        <v>1</v>
      </c>
      <c r="J14" s="12">
        <f>$H14*$J$13</f>
        <v>2</v>
      </c>
      <c r="K14" s="12">
        <f>$H14*$K$13</f>
        <v>3</v>
      </c>
      <c r="L14" s="12">
        <f>$H14*$L$13</f>
        <v>4</v>
      </c>
      <c r="M14" s="12">
        <f>$H14*$M$13</f>
        <v>5</v>
      </c>
      <c r="N14" s="1"/>
      <c r="O14" s="13" t="s">
        <v>53</v>
      </c>
      <c r="P14" s="20" t="s">
        <v>59</v>
      </c>
    </row>
    <row r="15" spans="1:16" x14ac:dyDescent="0.25">
      <c r="G15" s="149"/>
      <c r="H15" s="14">
        <v>2</v>
      </c>
      <c r="I15" s="12">
        <f t="shared" ref="I15:I18" si="0">$H15*$I$13</f>
        <v>2</v>
      </c>
      <c r="J15" s="12">
        <f t="shared" ref="J15:J18" si="1">$H15*$J$13</f>
        <v>4</v>
      </c>
      <c r="K15" s="12">
        <f t="shared" ref="K15:K18" si="2">$H15*$K$13</f>
        <v>6</v>
      </c>
      <c r="L15" s="12">
        <f t="shared" ref="L15:L18" si="3">$H15*$L$13</f>
        <v>8</v>
      </c>
      <c r="M15" s="19">
        <f t="shared" ref="M15:M18" si="4">$H15*$M$13</f>
        <v>10</v>
      </c>
      <c r="N15" s="1"/>
      <c r="O15" s="15" t="s">
        <v>54</v>
      </c>
      <c r="P15" s="21" t="s">
        <v>60</v>
      </c>
    </row>
    <row r="16" spans="1:16" x14ac:dyDescent="0.25">
      <c r="G16" s="149"/>
      <c r="H16" s="14">
        <v>3</v>
      </c>
      <c r="I16" s="12">
        <f t="shared" si="0"/>
        <v>3</v>
      </c>
      <c r="J16" s="12">
        <f t="shared" si="1"/>
        <v>6</v>
      </c>
      <c r="K16" s="19">
        <f t="shared" si="2"/>
        <v>9</v>
      </c>
      <c r="L16" s="19">
        <f t="shared" si="3"/>
        <v>12</v>
      </c>
      <c r="M16" s="18">
        <f t="shared" si="4"/>
        <v>15</v>
      </c>
      <c r="N16" s="1"/>
      <c r="O16" s="15" t="s">
        <v>55</v>
      </c>
      <c r="P16" s="21" t="s">
        <v>61</v>
      </c>
    </row>
    <row r="17" spans="7:16" x14ac:dyDescent="0.25">
      <c r="G17" s="149"/>
      <c r="H17" s="14">
        <v>4</v>
      </c>
      <c r="I17" s="12">
        <f t="shared" si="0"/>
        <v>4</v>
      </c>
      <c r="J17" s="12">
        <f t="shared" si="1"/>
        <v>8</v>
      </c>
      <c r="K17" s="19">
        <f t="shared" si="2"/>
        <v>12</v>
      </c>
      <c r="L17" s="18">
        <f t="shared" si="3"/>
        <v>16</v>
      </c>
      <c r="M17" s="18">
        <f t="shared" si="4"/>
        <v>20</v>
      </c>
      <c r="N17" s="1"/>
      <c r="O17" s="16" t="s">
        <v>56</v>
      </c>
      <c r="P17" s="17" t="s">
        <v>63</v>
      </c>
    </row>
    <row r="18" spans="7:16" x14ac:dyDescent="0.25">
      <c r="G18" s="149"/>
      <c r="H18" s="14">
        <v>5</v>
      </c>
      <c r="I18" s="12">
        <f t="shared" si="0"/>
        <v>5</v>
      </c>
      <c r="J18" s="19">
        <f t="shared" si="1"/>
        <v>10</v>
      </c>
      <c r="K18" s="18">
        <f t="shared" si="2"/>
        <v>15</v>
      </c>
      <c r="L18" s="18">
        <f t="shared" si="3"/>
        <v>20</v>
      </c>
      <c r="M18" s="18">
        <f t="shared" si="4"/>
        <v>25</v>
      </c>
      <c r="N18" s="1"/>
      <c r="O18" s="16" t="s">
        <v>57</v>
      </c>
      <c r="P18" s="17" t="s">
        <v>62</v>
      </c>
    </row>
    <row r="19" spans="7:16" x14ac:dyDescent="0.25">
      <c r="P19" s="22"/>
    </row>
  </sheetData>
  <mergeCells count="2">
    <mergeCell ref="I12:M12"/>
    <mergeCell ref="G14: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E523-619D-4AB1-A997-F301A21AAF4F}">
  <dimension ref="D5:G23"/>
  <sheetViews>
    <sheetView workbookViewId="0">
      <selection activeCell="D27" sqref="D27"/>
    </sheetView>
  </sheetViews>
  <sheetFormatPr defaultRowHeight="15" x14ac:dyDescent="0.25"/>
  <cols>
    <col min="4" max="4" width="42.140625" bestFit="1" customWidth="1"/>
  </cols>
  <sheetData>
    <row r="5" spans="4:7" ht="15.75" thickBot="1" x14ac:dyDescent="0.3">
      <c r="D5" s="154" t="s">
        <v>369</v>
      </c>
      <c r="E5" s="154"/>
      <c r="F5" s="154"/>
      <c r="G5" s="154"/>
    </row>
    <row r="6" spans="4:7" x14ac:dyDescent="0.25">
      <c r="D6" s="152" t="s">
        <v>353</v>
      </c>
      <c r="E6" s="150" t="s">
        <v>354</v>
      </c>
      <c r="F6" s="150"/>
      <c r="G6" s="151"/>
    </row>
    <row r="7" spans="4:7" x14ac:dyDescent="0.25">
      <c r="D7" s="153"/>
      <c r="E7" s="105" t="s">
        <v>348</v>
      </c>
      <c r="F7" s="105" t="s">
        <v>349</v>
      </c>
      <c r="G7" s="14" t="s">
        <v>350</v>
      </c>
    </row>
    <row r="8" spans="4:7" x14ac:dyDescent="0.25">
      <c r="D8" s="106" t="s">
        <v>351</v>
      </c>
      <c r="E8" s="105">
        <v>12</v>
      </c>
      <c r="F8" s="105">
        <v>6</v>
      </c>
      <c r="G8" s="14">
        <v>3</v>
      </c>
    </row>
    <row r="9" spans="4:7" x14ac:dyDescent="0.25">
      <c r="D9" s="106" t="s">
        <v>352</v>
      </c>
      <c r="E9" s="105">
        <v>18</v>
      </c>
      <c r="F9" s="105">
        <v>12</v>
      </c>
      <c r="G9" s="14">
        <v>6</v>
      </c>
    </row>
    <row r="10" spans="4:7" ht="45" x14ac:dyDescent="0.25">
      <c r="D10" s="107" t="s">
        <v>355</v>
      </c>
      <c r="E10" s="105">
        <v>3</v>
      </c>
      <c r="F10" s="105">
        <v>3</v>
      </c>
      <c r="G10" s="14">
        <v>3</v>
      </c>
    </row>
    <row r="11" spans="4:7" ht="30" x14ac:dyDescent="0.25">
      <c r="D11" s="107" t="s">
        <v>356</v>
      </c>
      <c r="E11" s="105">
        <v>6</v>
      </c>
      <c r="F11" s="105">
        <v>6</v>
      </c>
      <c r="G11" s="14">
        <v>3</v>
      </c>
    </row>
    <row r="12" spans="4:7" x14ac:dyDescent="0.25">
      <c r="D12" s="106" t="s">
        <v>357</v>
      </c>
      <c r="E12" s="105">
        <v>12</v>
      </c>
      <c r="F12" s="105">
        <v>6</v>
      </c>
      <c r="G12" s="14">
        <v>6</v>
      </c>
    </row>
    <row r="13" spans="4:7" x14ac:dyDescent="0.25">
      <c r="D13" s="106" t="s">
        <v>358</v>
      </c>
      <c r="E13" s="105">
        <v>6</v>
      </c>
      <c r="F13" s="105">
        <v>6</v>
      </c>
      <c r="G13" s="14">
        <v>3</v>
      </c>
    </row>
    <row r="14" spans="4:7" x14ac:dyDescent="0.25">
      <c r="D14" s="106" t="s">
        <v>359</v>
      </c>
      <c r="E14" s="105">
        <v>12</v>
      </c>
      <c r="F14" s="105">
        <v>6</v>
      </c>
      <c r="G14" s="14">
        <v>3</v>
      </c>
    </row>
    <row r="15" spans="4:7" x14ac:dyDescent="0.25">
      <c r="D15" s="106" t="s">
        <v>360</v>
      </c>
      <c r="E15" s="105">
        <v>18</v>
      </c>
      <c r="F15" s="105">
        <v>12</v>
      </c>
      <c r="G15" s="14">
        <v>6</v>
      </c>
    </row>
    <row r="16" spans="4:7" x14ac:dyDescent="0.25">
      <c r="D16" s="106" t="s">
        <v>368</v>
      </c>
      <c r="E16" s="105">
        <v>6</v>
      </c>
      <c r="F16" s="105">
        <v>3</v>
      </c>
      <c r="G16" s="14">
        <v>1</v>
      </c>
    </row>
    <row r="17" spans="4:7" x14ac:dyDescent="0.25">
      <c r="D17" s="106" t="s">
        <v>367</v>
      </c>
      <c r="E17" s="105">
        <v>12</v>
      </c>
      <c r="F17" s="105">
        <v>6</v>
      </c>
      <c r="G17" s="14">
        <v>6</v>
      </c>
    </row>
    <row r="18" spans="4:7" x14ac:dyDescent="0.25">
      <c r="D18" s="106" t="s">
        <v>366</v>
      </c>
      <c r="E18" s="105">
        <v>12</v>
      </c>
      <c r="F18" s="105">
        <v>6</v>
      </c>
      <c r="G18" s="14">
        <v>6</v>
      </c>
    </row>
    <row r="19" spans="4:7" x14ac:dyDescent="0.25">
      <c r="D19" s="106" t="s">
        <v>361</v>
      </c>
      <c r="E19" s="105">
        <v>12</v>
      </c>
      <c r="F19" s="105">
        <v>6</v>
      </c>
      <c r="G19" s="14">
        <v>3</v>
      </c>
    </row>
    <row r="20" spans="4:7" x14ac:dyDescent="0.25">
      <c r="D20" s="106" t="s">
        <v>362</v>
      </c>
      <c r="E20" s="105">
        <v>12</v>
      </c>
      <c r="F20" s="105">
        <v>6</v>
      </c>
      <c r="G20" s="14">
        <v>6</v>
      </c>
    </row>
    <row r="21" spans="4:7" x14ac:dyDescent="0.25">
      <c r="D21" s="106" t="s">
        <v>363</v>
      </c>
      <c r="E21" s="105">
        <v>3</v>
      </c>
      <c r="F21" s="105">
        <v>2</v>
      </c>
      <c r="G21" s="14">
        <v>1</v>
      </c>
    </row>
    <row r="22" spans="4:7" x14ac:dyDescent="0.25">
      <c r="D22" s="106" t="s">
        <v>364</v>
      </c>
      <c r="E22" s="105">
        <v>12</v>
      </c>
      <c r="F22" s="105">
        <v>6</v>
      </c>
      <c r="G22" s="14">
        <v>3</v>
      </c>
    </row>
    <row r="23" spans="4:7" ht="15.75" thickBot="1" x14ac:dyDescent="0.3">
      <c r="D23" s="108" t="s">
        <v>365</v>
      </c>
      <c r="E23" s="109">
        <v>6</v>
      </c>
      <c r="F23" s="109">
        <v>6</v>
      </c>
      <c r="G23" s="110">
        <v>3</v>
      </c>
    </row>
  </sheetData>
  <mergeCells count="3">
    <mergeCell ref="E6:G6"/>
    <mergeCell ref="D6:D7"/>
    <mergeCell ref="D5:G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0ACFD5E15739F4B95AF975AF9394523" ma:contentTypeVersion="17" ma:contentTypeDescription="Create a new document." ma:contentTypeScope="" ma:versionID="390ba04d3e89580259224037a9ab6d1f">
  <xsd:schema xmlns:xsd="http://www.w3.org/2001/XMLSchema" xmlns:xs="http://www.w3.org/2001/XMLSchema" xmlns:p="http://schemas.microsoft.com/office/2006/metadata/properties" xmlns:ns2="0c1968f8-18f9-4977-9ac6-306886be3e1e" xmlns:ns3="6912c307-7910-4851-bbb8-847b89b6dcbe" targetNamespace="http://schemas.microsoft.com/office/2006/metadata/properties" ma:root="true" ma:fieldsID="bd6f125e3ee2ba2e0f87fa8ce2d6ad24" ns2:_="" ns3:_="">
    <xsd:import namespace="0c1968f8-18f9-4977-9ac6-306886be3e1e"/>
    <xsd:import namespace="6912c307-7910-4851-bbb8-847b89b6dcb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ServiceAutoKeyPoints" minOccurs="0"/>
                <xsd:element ref="ns3:MediaServiceKeyPoints" minOccurs="0"/>
                <xsd:element ref="ns3:MediaLengthInSeconds" minOccurs="0"/>
                <xsd:element ref="ns3:_Flow_SignoffStatus" minOccurs="0"/>
                <xsd:element ref="ns3:lcf76f155ced4ddcb4097134ff3c332f" minOccurs="0"/>
                <xsd:element ref="ns2: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1968f8-18f9-4977-9ac6-306886be3e1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36e4af37-f70c-4e76-bb2a-60a015268764}" ma:internalName="TaxCatchAll" ma:showField="CatchAllData" ma:web="0c1968f8-18f9-4977-9ac6-306886be3e1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12c307-7910-4851-bbb8-847b89b6dcb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3c2ea047-c862-436c-8118-7b2ab963aa5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SharedWithUsers xmlns="0c1968f8-18f9-4977-9ac6-306886be3e1e">
      <UserInfo>
        <DisplayName>Imogen  H</DisplayName>
        <AccountId>110</AccountId>
        <AccountType/>
      </UserInfo>
      <UserInfo>
        <DisplayName>Dave Gent</DisplayName>
        <AccountId>7</AccountId>
        <AccountType/>
      </UserInfo>
      <UserInfo>
        <DisplayName>Luke Brammer</DisplayName>
        <AccountId>482</AccountId>
        <AccountType/>
      </UserInfo>
    </SharedWithUsers>
    <_Flow_SignoffStatus xmlns="6912c307-7910-4851-bbb8-847b89b6dcbe" xsi:nil="true"/>
    <TaxCatchAll xmlns="0c1968f8-18f9-4977-9ac6-306886be3e1e" xsi:nil="true"/>
    <lcf76f155ced4ddcb4097134ff3c332f xmlns="6912c307-7910-4851-bbb8-847b89b6dcb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C2986C0-8F67-4688-91CB-71F314A4333F}">
  <ds:schemaRefs>
    <ds:schemaRef ds:uri="http://schemas.microsoft.com/sharepoint/v3/contenttype/forms"/>
  </ds:schemaRefs>
</ds:datastoreItem>
</file>

<file path=customXml/itemProps2.xml><?xml version="1.0" encoding="utf-8"?>
<ds:datastoreItem xmlns:ds="http://schemas.openxmlformats.org/officeDocument/2006/customXml" ds:itemID="{80F6E433-6D74-4839-BA28-D942DADC66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1968f8-18f9-4977-9ac6-306886be3e1e"/>
    <ds:schemaRef ds:uri="6912c307-7910-4851-bbb8-847b89b6dc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C8B585-EC3E-4E3F-A168-BAD06E2BE5F8}">
  <ds:schemaRefs>
    <ds:schemaRef ds:uri="http://schemas.microsoft.com/office/2006/documentManagement/types"/>
    <ds:schemaRef ds:uri="http://purl.org/dc/dcmitype/"/>
    <ds:schemaRef ds:uri="http://schemas.microsoft.com/office/2006/metadata/properties"/>
    <ds:schemaRef ds:uri="http://purl.org/dc/elements/1.1/"/>
    <ds:schemaRef ds:uri="6912c307-7910-4851-bbb8-847b89b6dcbe"/>
    <ds:schemaRef ds:uri="http://purl.org/dc/terms/"/>
    <ds:schemaRef ds:uri="http://schemas.openxmlformats.org/package/2006/metadata/core-properties"/>
    <ds:schemaRef ds:uri="http://schemas.microsoft.com/office/infopath/2007/PartnerControls"/>
    <ds:schemaRef ds:uri="0c1968f8-18f9-4977-9ac6-306886be3e1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HAZID Log</vt:lpstr>
      <vt:lpstr>Matrix</vt:lpstr>
      <vt:lpstr>Frequency</vt:lpstr>
      <vt:lpstr>'HAZID Log'!Print_Area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dc:creator>
  <cp:keywords/>
  <dc:description/>
  <cp:lastModifiedBy>James Woollard</cp:lastModifiedBy>
  <cp:revision/>
  <cp:lastPrinted>2021-05-27T14:30:29Z</cp:lastPrinted>
  <dcterms:created xsi:type="dcterms:W3CDTF">2021-05-04T12:25:06Z</dcterms:created>
  <dcterms:modified xsi:type="dcterms:W3CDTF">2023-03-28T07:19:49Z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0x01010030ACFD5E15739F4B95AF975AF9394523</vt:lpwstr>
  </property>
  <property fmtid="{D5CDD505-2E9C-101B-9397-08002B2CF9AE}" pid="3" name="MediaServiceImageTags">
    <vt:lpwstr/>
  </property>
</Properties>
</file>